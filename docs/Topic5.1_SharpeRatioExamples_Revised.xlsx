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erry\Downloads\"/>
    </mc:Choice>
  </mc:AlternateContent>
  <xr:revisionPtr revIDLastSave="0" documentId="13_ncr:1_{1A5E0D26-63F8-4DC6-8502-DAA3BF1EA268}" xr6:coauthVersionLast="47" xr6:coauthVersionMax="47" xr10:uidLastSave="{00000000-0000-0000-0000-000000000000}"/>
  <bookViews>
    <workbookView xWindow="3218" yWindow="3218" windowWidth="16200" windowHeight="9982" tabRatio="787" activeTab="1" xr2:uid="{00000000-000D-0000-FFFF-FFFF00000000}"/>
  </bookViews>
  <sheets>
    <sheet name="Applied" sheetId="25" r:id="rId1"/>
    <sheet name="Equations" sheetId="43" r:id="rId2"/>
    <sheet name="5.5.2 MCSI MktCaps" sheetId="32" state="hidden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8</definedName>
    <definedName name="_AtRisk_SimSetting_MultipleCPUManualCount" hidden="1">8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18182</definedName>
    <definedName name="_AtRisk_SimSetting_ReportOptionReportsFileType" hidden="1">2</definedName>
    <definedName name="_AtRisk_SimSetting_ReportOptionReportStyle" hidden="1">1</definedName>
    <definedName name="_AtRisk_SimSetting_ReportOptionSelectiveQR" hidden="1">FALSE</definedName>
    <definedName name="_AtRisk_SimSetting_ReportsList" hidden="1">18182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DevMkt">#REF!</definedName>
    <definedName name="EmergMkt">#REF!</definedName>
    <definedName name="MOM">#REF!</definedName>
    <definedName name="Pal_Workbook_GUID" hidden="1">"MQMQDGU4ZELB1MHIQCZE45M8"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IsStatistics" hidden="1">FALSE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electedCell" hidden="1">"$B$108"</definedName>
    <definedName name="RiskSelectedNameCell1" hidden="1">"$A$108"</definedName>
    <definedName name="RiskSelectedNameCell2" hidden="1">"$B$46"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solver_adj" localSheetId="0" hidden="1">Applied!$C$17:$E$17</definedName>
    <definedName name="solver_adj" localSheetId="1" hidden="1">Equations!$C$17:$E$17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Applied!$F$17</definedName>
    <definedName name="solver_lhs1" localSheetId="1" hidden="1">Equations!$F$17</definedName>
    <definedName name="solver_lhs2" localSheetId="0" hidden="1">Applied!$G$17</definedName>
    <definedName name="solver_lhs2" localSheetId="1" hidden="1">Equations!$G$17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1</definedName>
    <definedName name="solver_num" localSheetId="1" hidden="1">1</definedName>
    <definedName name="solver_nwt" localSheetId="0" hidden="1">1</definedName>
    <definedName name="solver_nwt" localSheetId="1" hidden="1">1</definedName>
    <definedName name="solver_opt" localSheetId="0" hidden="1">Applied!$J$17</definedName>
    <definedName name="solver_opt" localSheetId="1" hidden="1">Equations!$J$17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2</definedName>
    <definedName name="solver_rel1" localSheetId="1" hidden="1">2</definedName>
    <definedName name="solver_rel2" localSheetId="0" hidden="1">2</definedName>
    <definedName name="solver_rel2" localSheetId="1" hidden="1">2</definedName>
    <definedName name="solver_rhs1" localSheetId="0" hidden="1">1</definedName>
    <definedName name="solver_rhs1" localSheetId="1" hidden="1">1</definedName>
    <definedName name="solver_rhs2" localSheetId="0" hidden="1">Applied!$B$17</definedName>
    <definedName name="solver_rhs2" localSheetId="1" hidden="1">Equations!$B$17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  <definedName name="USMk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7" i="43" l="1" a="1"/>
  <c r="C17" i="43" s="1"/>
  <c r="E17" i="43"/>
  <c r="D13" i="43"/>
  <c r="E13" i="43"/>
  <c r="C13" i="43"/>
  <c r="H26" i="43" a="1"/>
  <c r="H26" i="43" s="1"/>
  <c r="G26" i="43" a="1"/>
  <c r="G26" i="43" s="1"/>
  <c r="F26" i="43"/>
  <c r="H25" i="43" a="1"/>
  <c r="H25" i="43" s="1"/>
  <c r="G25" i="43" a="1"/>
  <c r="G25" i="43" s="1"/>
  <c r="F25" i="43"/>
  <c r="H24" i="43" a="1"/>
  <c r="H24" i="43" s="1"/>
  <c r="G24" i="43" a="1"/>
  <c r="G24" i="43" s="1"/>
  <c r="F24" i="43"/>
  <c r="H23" i="43" a="1"/>
  <c r="H23" i="43" s="1"/>
  <c r="G23" i="43" a="1"/>
  <c r="G23" i="43" s="1"/>
  <c r="F23" i="43"/>
  <c r="H22" i="43" a="1"/>
  <c r="H22" i="43" s="1"/>
  <c r="G22" i="43" a="1"/>
  <c r="G22" i="43" s="1"/>
  <c r="F22" i="43"/>
  <c r="C12" i="43"/>
  <c r="I17" i="25"/>
  <c r="H26" i="25" a="1"/>
  <c r="H26" i="25"/>
  <c r="G26" i="25" a="1"/>
  <c r="G26" i="25"/>
  <c r="F26" i="25"/>
  <c r="H25" i="25"/>
  <c r="H25" i="25" a="1"/>
  <c r="G25" i="25"/>
  <c r="G25" i="25" a="1"/>
  <c r="F25" i="25"/>
  <c r="H24" i="25" a="1"/>
  <c r="H24" i="25"/>
  <c r="G24" i="25" a="1"/>
  <c r="G24" i="25"/>
  <c r="F24" i="25"/>
  <c r="H23" i="25" a="1"/>
  <c r="H23" i="25" s="1"/>
  <c r="G23" i="25" a="1"/>
  <c r="G23" i="25"/>
  <c r="F23" i="25"/>
  <c r="H22" i="25" a="1"/>
  <c r="H22" i="25"/>
  <c r="G22" i="25" a="1"/>
  <c r="G22" i="25"/>
  <c r="F22" i="25"/>
  <c r="H17" i="25" a="1"/>
  <c r="H17" i="25"/>
  <c r="G17" i="25" a="1"/>
  <c r="G17" i="25"/>
  <c r="F17" i="25"/>
  <c r="C12" i="25"/>
  <c r="D7" i="32"/>
  <c r="E6" i="32"/>
  <c r="E5" i="32"/>
  <c r="E4" i="32"/>
  <c r="E7" i="32"/>
  <c r="C18" i="43" l="1"/>
  <c r="D17" i="43"/>
  <c r="F17" i="43"/>
  <c r="E18" i="43" s="1"/>
  <c r="D18" i="43" l="1"/>
  <c r="F18" i="43" s="1"/>
  <c r="G18" i="43" l="1" a="1"/>
  <c r="G18" i="43" s="1"/>
  <c r="H18" i="43" a="1"/>
  <c r="H18" i="43" s="1"/>
  <c r="I18" i="4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<sst xmlns="http://schemas.openxmlformats.org/spreadsheetml/2006/main" count="72" uniqueCount="26">
  <si>
    <t>Domestic Equity</t>
  </si>
  <si>
    <t>Developed Int'l</t>
  </si>
  <si>
    <t>Emerging Market</t>
  </si>
  <si>
    <t>Covariance Matrix</t>
  </si>
  <si>
    <t>Portfolio Weights</t>
  </si>
  <si>
    <t>Risk-free Rate</t>
  </si>
  <si>
    <t>Portfolio SD</t>
  </si>
  <si>
    <t>Expected Return</t>
  </si>
  <si>
    <t>Return Standard Deviation</t>
  </si>
  <si>
    <t>Portfolio E[r]</t>
  </si>
  <si>
    <t>Target E[r]</t>
  </si>
  <si>
    <t>Sum of Weights</t>
  </si>
  <si>
    <t>MV Weights</t>
  </si>
  <si>
    <t>Developed Market ex-US</t>
  </si>
  <si>
    <t>Emerging Markets</t>
  </si>
  <si>
    <t>MSCI World Index Market Caps, April 30, 2020</t>
  </si>
  <si>
    <t>Asset:</t>
  </si>
  <si>
    <t>(Trillions of dollars)</t>
  </si>
  <si>
    <t>US Market</t>
  </si>
  <si>
    <t>Market Capitalization</t>
  </si>
  <si>
    <t>Finding The Tangency Portfolio Using Solver</t>
  </si>
  <si>
    <t>Portfolio Sharpe Ratio</t>
  </si>
  <si>
    <t>Tangency Portfolio Weights</t>
  </si>
  <si>
    <t>Solution of Equations</t>
  </si>
  <si>
    <t>Tangency Portfolio</t>
  </si>
  <si>
    <t>Risk premia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</si>
</sst>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5" formatCode="#,##0.0000"/>
    <numFmt numFmtId="166" formatCode="0.0%"/>
    <numFmt numFmtId="167" formatCode="0.000"/>
    <numFmt numFmtId="169" formatCode="0.0000%"/>
    <numFmt numFmtId="173" formatCode="#,##0.00000000"/>
    <numFmt numFmtId="175" formatCode="_(* #,##0.0000_);_(* \(#,##0.00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55">
    <xf numFmtId="0" fontId="0" fillId="0" borderId="0" xfId="0"/>
    <xf numFmtId="4" fontId="0" fillId="0" borderId="0" xfId="0" applyNumberFormat="1"/>
    <xf numFmtId="165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1" xfId="0" applyBorder="1" applyAlignment="1">
      <alignment horizontal="right"/>
    </xf>
    <xf numFmtId="0" fontId="0" fillId="0" borderId="4" xfId="0" applyBorder="1"/>
    <xf numFmtId="9" fontId="0" fillId="0" borderId="0" xfId="0" applyNumberFormat="1"/>
    <xf numFmtId="165" fontId="3" fillId="0" borderId="0" xfId="0" applyNumberFormat="1" applyFont="1"/>
    <xf numFmtId="166" fontId="0" fillId="0" borderId="0" xfId="0" applyNumberFormat="1"/>
    <xf numFmtId="0" fontId="0" fillId="0" borderId="0" xfId="0" applyAlignment="1">
      <alignment wrapText="1"/>
    </xf>
    <xf numFmtId="9" fontId="4" fillId="0" borderId="0" xfId="0" applyNumberFormat="1" applyFont="1"/>
    <xf numFmtId="0" fontId="0" fillId="0" borderId="6" xfId="0" applyBorder="1"/>
    <xf numFmtId="0" fontId="1" fillId="0" borderId="1" xfId="0" applyFont="1" applyBorder="1"/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166" fontId="0" fillId="0" borderId="2" xfId="0" applyNumberFormat="1" applyBorder="1"/>
    <xf numFmtId="166" fontId="0" fillId="0" borderId="7" xfId="0" applyNumberFormat="1" applyBorder="1"/>
    <xf numFmtId="0" fontId="0" fillId="0" borderId="12" xfId="0" applyBorder="1" applyAlignment="1">
      <alignment wrapText="1"/>
    </xf>
    <xf numFmtId="167" fontId="0" fillId="0" borderId="0" xfId="0" applyNumberFormat="1"/>
    <xf numFmtId="0" fontId="0" fillId="0" borderId="12" xfId="0" applyBorder="1"/>
    <xf numFmtId="165" fontId="0" fillId="0" borderId="0" xfId="0" applyNumberFormat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12" xfId="0" applyFont="1" applyBorder="1" applyAlignment="1">
      <alignment wrapText="1"/>
    </xf>
    <xf numFmtId="9" fontId="0" fillId="0" borderId="12" xfId="0" applyNumberFormat="1" applyBorder="1"/>
    <xf numFmtId="166" fontId="5" fillId="0" borderId="9" xfId="0" applyNumberFormat="1" applyFont="1" applyBorder="1"/>
    <xf numFmtId="166" fontId="5" fillId="0" borderId="10" xfId="0" applyNumberFormat="1" applyFont="1" applyBorder="1"/>
    <xf numFmtId="166" fontId="5" fillId="0" borderId="13" xfId="0" applyNumberFormat="1" applyFont="1" applyBorder="1"/>
    <xf numFmtId="166" fontId="5" fillId="0" borderId="14" xfId="0" applyNumberFormat="1" applyFont="1" applyBorder="1"/>
    <xf numFmtId="166" fontId="5" fillId="0" borderId="7" xfId="0" applyNumberFormat="1" applyFont="1" applyBorder="1"/>
    <xf numFmtId="166" fontId="5" fillId="0" borderId="8" xfId="0" applyNumberFormat="1" applyFont="1" applyBorder="1"/>
    <xf numFmtId="165" fontId="5" fillId="0" borderId="9" xfId="0" applyNumberFormat="1" applyFont="1" applyBorder="1"/>
    <xf numFmtId="165" fontId="5" fillId="0" borderId="10" xfId="0" applyNumberFormat="1" applyFont="1" applyBorder="1"/>
    <xf numFmtId="165" fontId="5" fillId="0" borderId="13" xfId="0" applyNumberFormat="1" applyFont="1" applyBorder="1"/>
    <xf numFmtId="165" fontId="5" fillId="0" borderId="11" xfId="0" applyNumberFormat="1" applyFont="1" applyBorder="1"/>
    <xf numFmtId="165" fontId="5" fillId="0" borderId="0" xfId="0" applyNumberFormat="1" applyFont="1"/>
    <xf numFmtId="165" fontId="5" fillId="0" borderId="5" xfId="0" applyNumberFormat="1" applyFont="1" applyBorder="1"/>
    <xf numFmtId="165" fontId="5" fillId="0" borderId="14" xfId="0" applyNumberFormat="1" applyFont="1" applyBorder="1"/>
    <xf numFmtId="165" fontId="5" fillId="0" borderId="7" xfId="0" applyNumberFormat="1" applyFont="1" applyBorder="1"/>
    <xf numFmtId="165" fontId="5" fillId="0" borderId="8" xfId="0" applyNumberFormat="1" applyFont="1" applyBorder="1"/>
    <xf numFmtId="9" fontId="5" fillId="0" borderId="0" xfId="0" applyNumberFormat="1" applyFont="1"/>
    <xf numFmtId="9" fontId="5" fillId="0" borderId="1" xfId="0" applyNumberFormat="1" applyFont="1" applyBorder="1"/>
    <xf numFmtId="9" fontId="5" fillId="0" borderId="4" xfId="0" applyNumberFormat="1" applyFont="1" applyBorder="1"/>
    <xf numFmtId="9" fontId="5" fillId="0" borderId="6" xfId="0" applyNumberFormat="1" applyFont="1" applyBorder="1"/>
    <xf numFmtId="0" fontId="1" fillId="0" borderId="7" xfId="0" applyFont="1" applyBorder="1" applyAlignment="1">
      <alignment wrapText="1"/>
    </xf>
    <xf numFmtId="9" fontId="4" fillId="0" borderId="7" xfId="0" applyNumberFormat="1" applyFont="1" applyBorder="1"/>
    <xf numFmtId="165" fontId="1" fillId="0" borderId="12" xfId="0" applyNumberFormat="1" applyFont="1" applyBorder="1"/>
    <xf numFmtId="0" fontId="1" fillId="0" borderId="0" xfId="0" applyFont="1" applyAlignment="1">
      <alignment horizontal="center" wrapText="1"/>
    </xf>
    <xf numFmtId="169" fontId="0" fillId="0" borderId="0" xfId="0" applyNumberFormat="1"/>
    <xf numFmtId="173" fontId="0" fillId="0" borderId="0" xfId="0" applyNumberFormat="1"/>
    <xf numFmtId="175" fontId="0" fillId="0" borderId="0" xfId="1" applyNumberFormat="1" applyFont="1"/>
    <xf numFmtId="0" fontId="0" fillId="0" borderId="0" xfId="0" applyFill="1" applyBorder="1" applyAlignment="1">
      <alignment wrapText="1"/>
    </xf>
    <xf numFmtId="10" fontId="5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31"/>
  <sheetViews>
    <sheetView topLeftCell="B5" zoomScaleNormal="100" workbookViewId="0">
      <selection activeCell="G17" sqref="G17:H17"/>
    </sheetView>
  </sheetViews>
  <sheetFormatPr defaultColWidth="8.796875" defaultRowHeight="14.25" x14ac:dyDescent="0.45"/>
  <cols>
    <col min="1" max="1" width="5" customWidth="1"/>
    <col min="2" max="2" width="22.1328125" customWidth="1"/>
    <col min="3" max="12" width="11.796875" customWidth="1"/>
  </cols>
  <sheetData>
    <row r="1" spans="1:11" x14ac:dyDescent="0.45">
      <c r="A1" s="4" t="s">
        <v>20</v>
      </c>
    </row>
    <row r="2" spans="1:11" ht="14.65" thickBot="1" x14ac:dyDescent="0.5"/>
    <row r="3" spans="1:11" ht="28.5" x14ac:dyDescent="0.45">
      <c r="B3" s="5" t="s">
        <v>16</v>
      </c>
      <c r="C3" s="22" t="s">
        <v>0</v>
      </c>
      <c r="D3" s="22" t="s">
        <v>1</v>
      </c>
      <c r="E3" s="23" t="s">
        <v>2</v>
      </c>
    </row>
    <row r="4" spans="1:11" x14ac:dyDescent="0.45">
      <c r="B4" s="6" t="s">
        <v>7</v>
      </c>
      <c r="C4" s="27">
        <v>0.06</v>
      </c>
      <c r="D4" s="28">
        <v>6.5000000000000002E-2</v>
      </c>
      <c r="E4" s="29">
        <v>0.08</v>
      </c>
    </row>
    <row r="5" spans="1:11" ht="14.65" thickBot="1" x14ac:dyDescent="0.5">
      <c r="B5" s="12" t="s">
        <v>8</v>
      </c>
      <c r="C5" s="30">
        <v>0.15</v>
      </c>
      <c r="D5" s="31">
        <v>0.16500000000000001</v>
      </c>
      <c r="E5" s="32">
        <v>0.21</v>
      </c>
    </row>
    <row r="6" spans="1:11" ht="14.65" thickBot="1" x14ac:dyDescent="0.5">
      <c r="C6" s="1"/>
      <c r="D6" s="1"/>
      <c r="E6" s="1"/>
    </row>
    <row r="7" spans="1:11" ht="28.5" x14ac:dyDescent="0.45">
      <c r="B7" s="13" t="s">
        <v>3</v>
      </c>
      <c r="C7" s="22" t="s">
        <v>0</v>
      </c>
      <c r="D7" s="22" t="s">
        <v>1</v>
      </c>
      <c r="E7" s="23" t="s">
        <v>2</v>
      </c>
      <c r="H7" s="10"/>
    </row>
    <row r="8" spans="1:11" x14ac:dyDescent="0.45">
      <c r="B8" s="14" t="s">
        <v>0</v>
      </c>
      <c r="C8" s="33">
        <v>2.2499999999999999E-2</v>
      </c>
      <c r="D8" s="34">
        <v>1.8562499999999999E-2</v>
      </c>
      <c r="E8" s="35">
        <v>2.3624999999999997E-2</v>
      </c>
      <c r="I8" s="2"/>
      <c r="J8" s="2"/>
      <c r="K8" s="2"/>
    </row>
    <row r="9" spans="1:11" x14ac:dyDescent="0.45">
      <c r="B9" s="14" t="s">
        <v>1</v>
      </c>
      <c r="C9" s="36">
        <v>1.8562499999999999E-2</v>
      </c>
      <c r="D9" s="37">
        <v>2.7225000000000003E-2</v>
      </c>
      <c r="E9" s="38">
        <v>2.59875E-2</v>
      </c>
      <c r="I9" s="2"/>
      <c r="J9" s="2"/>
      <c r="K9" s="2"/>
    </row>
    <row r="10" spans="1:11" ht="14.65" thickBot="1" x14ac:dyDescent="0.5">
      <c r="B10" s="15" t="s">
        <v>2</v>
      </c>
      <c r="C10" s="39">
        <v>2.3624999999999997E-2</v>
      </c>
      <c r="D10" s="40">
        <v>2.59875E-2</v>
      </c>
      <c r="E10" s="41">
        <v>4.4099999999999993E-2</v>
      </c>
      <c r="I10" s="2"/>
      <c r="J10" s="2"/>
      <c r="K10" s="2"/>
    </row>
    <row r="12" spans="1:11" x14ac:dyDescent="0.45">
      <c r="B12" t="s">
        <v>5</v>
      </c>
      <c r="C12" s="37">
        <f>0.0012*4</f>
        <v>4.7999999999999996E-3</v>
      </c>
      <c r="J12" s="2"/>
    </row>
    <row r="13" spans="1:11" x14ac:dyDescent="0.45">
      <c r="C13" s="8"/>
      <c r="J13" s="2"/>
    </row>
    <row r="14" spans="1:11" x14ac:dyDescent="0.45">
      <c r="C14" s="8"/>
      <c r="J14" s="2"/>
    </row>
    <row r="15" spans="1:11" ht="14.55" customHeight="1" x14ac:dyDescent="0.45">
      <c r="C15" s="49" t="s">
        <v>22</v>
      </c>
      <c r="D15" s="49"/>
      <c r="E15" s="49"/>
      <c r="J15" s="2"/>
    </row>
    <row r="16" spans="1:11" ht="28.5" x14ac:dyDescent="0.45">
      <c r="B16" s="4"/>
      <c r="C16" s="25" t="s">
        <v>0</v>
      </c>
      <c r="D16" s="25" t="s">
        <v>1</v>
      </c>
      <c r="E16" s="25" t="s">
        <v>2</v>
      </c>
      <c r="F16" s="25" t="s">
        <v>11</v>
      </c>
      <c r="G16" s="25" t="s">
        <v>9</v>
      </c>
      <c r="H16" s="25" t="s">
        <v>6</v>
      </c>
      <c r="I16" s="48" t="s">
        <v>21</v>
      </c>
    </row>
    <row r="17" spans="2:11" x14ac:dyDescent="0.45">
      <c r="B17" s="42"/>
      <c r="C17" s="11">
        <v>0.42029973062798409</v>
      </c>
      <c r="D17" s="11">
        <v>0.35251620348533325</v>
      </c>
      <c r="E17" s="11">
        <v>0.22718400449116488</v>
      </c>
      <c r="F17" s="7">
        <f>SUM(C17:E17)</f>
        <v>0.99999993860448222</v>
      </c>
      <c r="G17" s="50" cm="1">
        <f t="array" ref="G17">MMULT(C17:E17,TRANSPOSE($C$4:$E$4))</f>
        <v>6.6306257423518894E-2</v>
      </c>
      <c r="H17" s="50" cm="1">
        <f t="array" ref="H17">SQRT(MMULT(C17:E17,MMULT($C$8:$E$10,TRANSPOSE(C17:E17))))</f>
        <v>0.15430053913614955</v>
      </c>
      <c r="I17" s="52">
        <f>(G17-C12)/H17</f>
        <v>0.39861336692574911</v>
      </c>
    </row>
    <row r="18" spans="2:11" x14ac:dyDescent="0.45">
      <c r="C18" s="8"/>
      <c r="J18" s="2"/>
    </row>
    <row r="19" spans="2:11" x14ac:dyDescent="0.45">
      <c r="C19" s="8"/>
      <c r="J19" s="51"/>
    </row>
    <row r="20" spans="2:11" ht="29" customHeight="1" x14ac:dyDescent="0.45">
      <c r="C20" s="49" t="s">
        <v>4</v>
      </c>
      <c r="D20" s="49"/>
      <c r="E20" s="49"/>
      <c r="J20" s="2"/>
    </row>
    <row r="21" spans="2:11" ht="28.9" thickBot="1" x14ac:dyDescent="0.5">
      <c r="B21" s="4" t="s">
        <v>10</v>
      </c>
      <c r="C21" s="24" t="s">
        <v>0</v>
      </c>
      <c r="D21" s="24" t="s">
        <v>1</v>
      </c>
      <c r="E21" s="24" t="s">
        <v>2</v>
      </c>
      <c r="F21" s="24" t="s">
        <v>11</v>
      </c>
      <c r="G21" s="46" t="s">
        <v>9</v>
      </c>
      <c r="H21" s="46" t="s">
        <v>6</v>
      </c>
      <c r="I21" s="21"/>
      <c r="J21" s="21"/>
      <c r="K21" s="21"/>
    </row>
    <row r="22" spans="2:11" x14ac:dyDescent="0.45">
      <c r="B22" s="43">
        <v>0.04</v>
      </c>
      <c r="C22" s="16">
        <v>1.6002637950748135</v>
      </c>
      <c r="D22" s="16">
        <v>0.53298160655047899</v>
      </c>
      <c r="E22" s="16">
        <v>-1.1332454016252924</v>
      </c>
      <c r="F22" s="16">
        <f>SUM(C22:E22)</f>
        <v>1.0000000000000002</v>
      </c>
      <c r="G22" s="9" cm="1">
        <f t="array" ref="G22">MMULT(C22:E22,TRANSPOSE($C$4:$E$4))</f>
        <v>4.0000000000246533E-2</v>
      </c>
      <c r="H22" s="9" cm="1">
        <f t="array" ref="H22">SQRT(MMULT(C22:E22,MMULT($C$8:$E$10,TRANSPOSE(C22:E22))))</f>
        <v>0.1912380680730402</v>
      </c>
    </row>
    <row r="23" spans="2:11" x14ac:dyDescent="0.45">
      <c r="B23" s="44">
        <v>0.05</v>
      </c>
      <c r="C23" s="9">
        <v>1.1517150260908089</v>
      </c>
      <c r="D23" s="9">
        <v>0.46437998353034776</v>
      </c>
      <c r="E23" s="9">
        <v>-0.61609500962115649</v>
      </c>
      <c r="F23" s="9">
        <f t="shared" ref="F23:F26" si="0">SUM(C23:E23)</f>
        <v>1</v>
      </c>
      <c r="G23" s="9" cm="1">
        <f t="array" ref="G23">MMULT(C23:E23,TRANSPOSE($C$4:$E$4))</f>
        <v>4.9999999725228617E-2</v>
      </c>
      <c r="H23" s="9" cm="1">
        <f t="array" ref="H23">SQRT(MMULT(C23:E23,MMULT($C$8:$E$10,TRANSPOSE(C23:E23))))</f>
        <v>0.1546409372626861</v>
      </c>
    </row>
    <row r="24" spans="2:11" x14ac:dyDescent="0.45">
      <c r="B24" s="44">
        <v>0.06</v>
      </c>
      <c r="C24" s="11">
        <v>0.70316619583171769</v>
      </c>
      <c r="D24" s="11">
        <v>0.39577833383406508</v>
      </c>
      <c r="E24" s="11">
        <v>-9.8944538869047222E-2</v>
      </c>
      <c r="F24" s="9">
        <f t="shared" si="0"/>
        <v>0.99999999079673552</v>
      </c>
      <c r="G24" s="9" cm="1">
        <f t="array" ref="G24">MMULT(C24:E24,TRANSPOSE($C$4:$E$4))</f>
        <v>6.0000000339593518E-2</v>
      </c>
      <c r="H24" s="9" cm="1">
        <f t="array" ref="H24">SQRT(MMULT(C24:E24,MMULT($C$8:$E$10,TRANSPOSE(C24:E24))))</f>
        <v>0.14432709307305036</v>
      </c>
    </row>
    <row r="25" spans="2:11" x14ac:dyDescent="0.45">
      <c r="B25" s="44">
        <v>7.0000000000000007E-2</v>
      </c>
      <c r="C25" s="11">
        <v>0.25461712220640237</v>
      </c>
      <c r="D25" s="11">
        <v>0.32717693430631439</v>
      </c>
      <c r="E25" s="11">
        <v>0.41820594265376526</v>
      </c>
      <c r="F25" s="9">
        <f t="shared" si="0"/>
        <v>0.99999999916648208</v>
      </c>
      <c r="G25" s="9" cm="1">
        <f t="array" ref="G25">MMULT(C25:E25,TRANSPOSE($C$4:$E$4))</f>
        <v>7.0000003474595798E-2</v>
      </c>
      <c r="H25" s="9" cm="1">
        <f t="array" ref="H25">SQRT(MMULT(C25:E25,MMULT($C$8:$E$10,TRANSPOSE(C25:E25))))</f>
        <v>0.16529208969377709</v>
      </c>
    </row>
    <row r="26" spans="2:11" ht="14.65" thickBot="1" x14ac:dyDescent="0.5">
      <c r="B26" s="45">
        <v>0.08</v>
      </c>
      <c r="C26" s="47">
        <v>-0.19393142539494257</v>
      </c>
      <c r="D26" s="47">
        <v>0.25857526376446238</v>
      </c>
      <c r="E26" s="47">
        <v>0.93535616862816451</v>
      </c>
      <c r="F26" s="17">
        <f t="shared" si="0"/>
        <v>1.0000000069976842</v>
      </c>
      <c r="G26" s="17" cm="1">
        <f t="array" ref="G26">MMULT(C26:E26,TRANSPOSE($C$4:$E$4))</f>
        <v>8.0000000111246666E-2</v>
      </c>
      <c r="H26" s="17" cm="1">
        <f t="array" ref="H26">SQRT(MMULT(C26:E26,MMULT($C$8:$E$10,TRANSPOSE(C26:E26))))</f>
        <v>0.20829618763345809</v>
      </c>
    </row>
    <row r="27" spans="2:11" x14ac:dyDescent="0.45">
      <c r="C27" s="9"/>
      <c r="D27" s="9"/>
      <c r="E27" s="9"/>
      <c r="G27" s="9"/>
      <c r="H27" s="2"/>
      <c r="I27" s="9"/>
      <c r="J27" s="2"/>
    </row>
    <row r="28" spans="2:11" x14ac:dyDescent="0.45">
      <c r="C28" s="9"/>
      <c r="D28" s="9"/>
      <c r="E28" s="9"/>
      <c r="G28" s="9"/>
      <c r="H28" s="2"/>
      <c r="I28" s="9"/>
      <c r="J28" s="2"/>
    </row>
    <row r="29" spans="2:11" x14ac:dyDescent="0.45">
      <c r="C29" s="9"/>
      <c r="D29" s="9"/>
      <c r="E29" s="9"/>
      <c r="G29" s="9"/>
      <c r="H29" s="2"/>
      <c r="I29" s="9"/>
      <c r="J29" s="2"/>
    </row>
    <row r="30" spans="2:11" x14ac:dyDescent="0.45">
      <c r="C30" s="9"/>
      <c r="D30" s="9"/>
      <c r="E30" s="9"/>
      <c r="G30" s="9"/>
      <c r="H30" s="2"/>
      <c r="I30" s="9"/>
      <c r="J30" s="2"/>
    </row>
    <row r="31" spans="2:11" x14ac:dyDescent="0.45">
      <c r="C31" s="9"/>
      <c r="D31" s="9"/>
      <c r="E31" s="9"/>
      <c r="G31" s="9"/>
      <c r="H31" s="2"/>
      <c r="I31" s="9"/>
      <c r="J31" s="2"/>
    </row>
    <row r="32" spans="2:11" x14ac:dyDescent="0.45">
      <c r="C32" s="9"/>
      <c r="D32" s="9"/>
      <c r="E32" s="9"/>
      <c r="G32" s="9"/>
      <c r="H32" s="2"/>
      <c r="I32" s="9"/>
      <c r="J32" s="2"/>
    </row>
    <row r="33" spans="3:10" x14ac:dyDescent="0.45">
      <c r="C33" s="9"/>
      <c r="D33" s="9"/>
      <c r="E33" s="9"/>
      <c r="G33" s="9"/>
      <c r="H33" s="2"/>
      <c r="I33" s="9"/>
      <c r="J33" s="2"/>
    </row>
    <row r="34" spans="3:10" x14ac:dyDescent="0.45">
      <c r="C34" s="9"/>
      <c r="D34" s="9"/>
      <c r="E34" s="9"/>
      <c r="G34" s="9"/>
      <c r="H34" s="2"/>
      <c r="I34" s="9"/>
      <c r="J34" s="2"/>
    </row>
    <row r="35" spans="3:10" x14ac:dyDescent="0.45">
      <c r="C35" s="9"/>
      <c r="D35" s="9"/>
      <c r="E35" s="9"/>
      <c r="G35" s="9"/>
      <c r="H35" s="2"/>
      <c r="I35" s="9"/>
      <c r="J35" s="2"/>
    </row>
    <row r="36" spans="3:10" x14ac:dyDescent="0.45">
      <c r="C36" s="9"/>
      <c r="D36" s="9"/>
      <c r="E36" s="9"/>
      <c r="G36" s="9"/>
      <c r="H36" s="2"/>
      <c r="I36" s="9"/>
      <c r="J36" s="2"/>
    </row>
    <row r="37" spans="3:10" x14ac:dyDescent="0.45">
      <c r="C37" s="9"/>
      <c r="D37" s="9"/>
      <c r="E37" s="9"/>
      <c r="G37" s="9"/>
      <c r="H37" s="2"/>
      <c r="I37" s="9"/>
      <c r="J37" s="2"/>
    </row>
    <row r="38" spans="3:10" x14ac:dyDescent="0.45">
      <c r="C38" s="9"/>
      <c r="D38" s="9"/>
      <c r="E38" s="9"/>
      <c r="G38" s="9"/>
      <c r="H38" s="2"/>
      <c r="I38" s="9"/>
      <c r="J38" s="2"/>
    </row>
    <row r="39" spans="3:10" x14ac:dyDescent="0.45">
      <c r="C39" s="9"/>
      <c r="D39" s="9"/>
      <c r="E39" s="9"/>
      <c r="G39" s="9"/>
      <c r="H39" s="2"/>
      <c r="I39" s="9"/>
      <c r="J39" s="2"/>
    </row>
    <row r="40" spans="3:10" x14ac:dyDescent="0.45">
      <c r="C40" s="9"/>
      <c r="D40" s="9"/>
      <c r="E40" s="9"/>
      <c r="G40" s="9"/>
      <c r="H40" s="2"/>
      <c r="I40" s="9"/>
      <c r="J40" s="2"/>
    </row>
    <row r="41" spans="3:10" x14ac:dyDescent="0.45">
      <c r="C41" s="9"/>
      <c r="D41" s="9"/>
      <c r="E41" s="9"/>
      <c r="G41" s="9"/>
      <c r="H41" s="2"/>
      <c r="I41" s="9"/>
      <c r="J41" s="2"/>
    </row>
    <row r="42" spans="3:10" x14ac:dyDescent="0.45">
      <c r="C42" s="9"/>
      <c r="D42" s="9"/>
      <c r="E42" s="9"/>
      <c r="G42" s="9"/>
      <c r="H42" s="2"/>
      <c r="I42" s="9"/>
      <c r="J42" s="2"/>
    </row>
    <row r="43" spans="3:10" x14ac:dyDescent="0.45">
      <c r="C43" s="9"/>
      <c r="D43" s="9"/>
      <c r="E43" s="9"/>
      <c r="G43" s="9"/>
      <c r="H43" s="2"/>
      <c r="I43" s="9"/>
      <c r="J43" s="2"/>
    </row>
    <row r="44" spans="3:10" x14ac:dyDescent="0.45">
      <c r="C44" s="9"/>
      <c r="D44" s="9"/>
      <c r="E44" s="9"/>
      <c r="G44" s="9"/>
      <c r="H44" s="2"/>
      <c r="I44" s="9"/>
      <c r="J44" s="2"/>
    </row>
    <row r="45" spans="3:10" x14ac:dyDescent="0.45">
      <c r="C45" s="9"/>
      <c r="D45" s="9"/>
      <c r="E45" s="9"/>
      <c r="G45" s="9"/>
      <c r="H45" s="2"/>
      <c r="I45" s="9"/>
      <c r="J45" s="2"/>
    </row>
    <row r="46" spans="3:10" x14ac:dyDescent="0.45">
      <c r="C46" s="9"/>
      <c r="D46" s="9"/>
      <c r="E46" s="9"/>
      <c r="G46" s="9"/>
      <c r="H46" s="2"/>
      <c r="I46" s="9"/>
      <c r="J46" s="2"/>
    </row>
    <row r="47" spans="3:10" x14ac:dyDescent="0.45">
      <c r="C47" s="9"/>
      <c r="D47" s="9"/>
      <c r="E47" s="9"/>
      <c r="G47" s="9"/>
      <c r="H47" s="2"/>
      <c r="I47" s="9"/>
      <c r="J47" s="2"/>
    </row>
    <row r="48" spans="3:10" x14ac:dyDescent="0.45">
      <c r="C48" s="9"/>
      <c r="D48" s="9"/>
      <c r="E48" s="9"/>
      <c r="G48" s="9"/>
      <c r="H48" s="2"/>
      <c r="I48" s="9"/>
      <c r="J48" s="2"/>
    </row>
    <row r="49" spans="3:10" x14ac:dyDescent="0.45">
      <c r="C49" s="9"/>
      <c r="D49" s="9"/>
      <c r="E49" s="9"/>
      <c r="G49" s="9"/>
      <c r="H49" s="2"/>
      <c r="I49" s="9"/>
      <c r="J49" s="2"/>
    </row>
    <row r="50" spans="3:10" x14ac:dyDescent="0.45">
      <c r="C50" s="9"/>
      <c r="D50" s="9"/>
      <c r="E50" s="9"/>
      <c r="G50" s="9"/>
      <c r="H50" s="2"/>
      <c r="I50" s="9"/>
      <c r="J50" s="2"/>
    </row>
    <row r="51" spans="3:10" x14ac:dyDescent="0.45">
      <c r="C51" s="9"/>
      <c r="D51" s="9"/>
      <c r="E51" s="9"/>
      <c r="G51" s="9"/>
      <c r="H51" s="2"/>
      <c r="I51" s="9"/>
      <c r="J51" s="2"/>
    </row>
    <row r="52" spans="3:10" x14ac:dyDescent="0.45">
      <c r="C52" s="9"/>
      <c r="D52" s="9"/>
      <c r="E52" s="9"/>
      <c r="G52" s="9"/>
      <c r="H52" s="2"/>
      <c r="I52" s="9"/>
      <c r="J52" s="2"/>
    </row>
    <row r="53" spans="3:10" x14ac:dyDescent="0.45">
      <c r="C53" s="9"/>
      <c r="D53" s="9"/>
      <c r="E53" s="9"/>
      <c r="G53" s="9"/>
      <c r="H53" s="2"/>
      <c r="I53" s="9"/>
      <c r="J53" s="2"/>
    </row>
    <row r="54" spans="3:10" x14ac:dyDescent="0.45">
      <c r="C54" s="9"/>
      <c r="D54" s="9"/>
      <c r="E54" s="9"/>
      <c r="G54" s="9"/>
      <c r="H54" s="2"/>
      <c r="I54" s="9"/>
      <c r="J54" s="2"/>
    </row>
    <row r="55" spans="3:10" x14ac:dyDescent="0.45">
      <c r="C55" s="9"/>
      <c r="D55" s="9"/>
      <c r="E55" s="9"/>
      <c r="G55" s="9"/>
      <c r="H55" s="2"/>
      <c r="I55" s="9"/>
      <c r="J55" s="2"/>
    </row>
    <row r="56" spans="3:10" x14ac:dyDescent="0.45">
      <c r="C56" s="9"/>
      <c r="D56" s="9"/>
      <c r="E56" s="9"/>
      <c r="G56" s="9"/>
      <c r="H56" s="2"/>
      <c r="I56" s="9"/>
      <c r="J56" s="2"/>
    </row>
    <row r="57" spans="3:10" x14ac:dyDescent="0.45">
      <c r="C57" s="9"/>
      <c r="D57" s="9"/>
      <c r="E57" s="9"/>
      <c r="G57" s="9"/>
      <c r="H57" s="2"/>
      <c r="I57" s="9"/>
      <c r="J57" s="2"/>
    </row>
    <row r="58" spans="3:10" x14ac:dyDescent="0.45">
      <c r="C58" s="9"/>
      <c r="D58" s="9"/>
      <c r="E58" s="9"/>
      <c r="G58" s="9"/>
      <c r="H58" s="2"/>
      <c r="I58" s="9"/>
      <c r="J58" s="2"/>
    </row>
    <row r="59" spans="3:10" x14ac:dyDescent="0.45">
      <c r="C59" s="9"/>
      <c r="D59" s="9"/>
      <c r="E59" s="9"/>
      <c r="G59" s="9"/>
      <c r="H59" s="2"/>
      <c r="I59" s="9"/>
      <c r="J59" s="2"/>
    </row>
    <row r="60" spans="3:10" x14ac:dyDescent="0.45">
      <c r="C60" s="9"/>
      <c r="D60" s="9"/>
      <c r="E60" s="9"/>
      <c r="G60" s="9"/>
      <c r="H60" s="2"/>
      <c r="I60" s="9"/>
      <c r="J60" s="2"/>
    </row>
    <row r="61" spans="3:10" x14ac:dyDescent="0.45">
      <c r="C61" s="9"/>
      <c r="D61" s="9"/>
      <c r="E61" s="9"/>
      <c r="G61" s="9"/>
      <c r="H61" s="2"/>
      <c r="I61" s="9"/>
      <c r="J61" s="2"/>
    </row>
    <row r="62" spans="3:10" x14ac:dyDescent="0.45">
      <c r="C62" s="9"/>
      <c r="D62" s="9"/>
      <c r="E62" s="9"/>
      <c r="G62" s="9"/>
      <c r="H62" s="2"/>
      <c r="I62" s="9"/>
      <c r="J62" s="2"/>
    </row>
    <row r="63" spans="3:10" x14ac:dyDescent="0.45">
      <c r="C63" s="9"/>
      <c r="D63" s="9"/>
      <c r="E63" s="9"/>
      <c r="G63" s="9"/>
      <c r="H63" s="2"/>
      <c r="I63" s="9"/>
      <c r="J63" s="2"/>
    </row>
    <row r="64" spans="3:10" x14ac:dyDescent="0.45">
      <c r="C64" s="9"/>
      <c r="D64" s="9"/>
      <c r="E64" s="9"/>
      <c r="G64" s="9"/>
      <c r="H64" s="2"/>
      <c r="I64" s="9"/>
      <c r="J64" s="2"/>
    </row>
    <row r="65" spans="3:10" x14ac:dyDescent="0.45">
      <c r="C65" s="9"/>
      <c r="D65" s="9"/>
      <c r="E65" s="9"/>
      <c r="G65" s="9"/>
      <c r="H65" s="2"/>
      <c r="I65" s="9"/>
      <c r="J65" s="2"/>
    </row>
    <row r="66" spans="3:10" x14ac:dyDescent="0.45">
      <c r="C66" s="9"/>
      <c r="D66" s="9"/>
      <c r="E66" s="9"/>
      <c r="G66" s="9"/>
      <c r="H66" s="2"/>
      <c r="I66" s="9"/>
      <c r="J66" s="2"/>
    </row>
    <row r="67" spans="3:10" x14ac:dyDescent="0.45">
      <c r="C67" s="9"/>
      <c r="D67" s="9"/>
      <c r="E67" s="9"/>
      <c r="G67" s="9"/>
      <c r="H67" s="2"/>
      <c r="I67" s="9"/>
      <c r="J67" s="2"/>
    </row>
    <row r="68" spans="3:10" x14ac:dyDescent="0.45">
      <c r="C68" s="9"/>
      <c r="D68" s="9"/>
      <c r="E68" s="9"/>
      <c r="G68" s="9"/>
      <c r="H68" s="2"/>
      <c r="I68" s="9"/>
      <c r="J68" s="2"/>
    </row>
    <row r="69" spans="3:10" x14ac:dyDescent="0.45">
      <c r="C69" s="9"/>
      <c r="D69" s="9"/>
      <c r="E69" s="9"/>
      <c r="G69" s="9"/>
      <c r="H69" s="2"/>
      <c r="I69" s="9"/>
      <c r="J69" s="2"/>
    </row>
    <row r="70" spans="3:10" x14ac:dyDescent="0.45">
      <c r="C70" s="9"/>
      <c r="D70" s="9"/>
      <c r="E70" s="9"/>
      <c r="G70" s="9"/>
      <c r="H70" s="2"/>
      <c r="I70" s="9"/>
      <c r="J70" s="2"/>
    </row>
    <row r="71" spans="3:10" x14ac:dyDescent="0.45">
      <c r="C71" s="9"/>
      <c r="D71" s="9"/>
      <c r="E71" s="9"/>
      <c r="G71" s="9"/>
      <c r="H71" s="2"/>
      <c r="I71" s="9"/>
      <c r="J71" s="2"/>
    </row>
    <row r="72" spans="3:10" x14ac:dyDescent="0.45">
      <c r="C72" s="9"/>
      <c r="D72" s="9"/>
      <c r="E72" s="9"/>
      <c r="G72" s="9"/>
      <c r="H72" s="2"/>
      <c r="I72" s="9"/>
      <c r="J72" s="2"/>
    </row>
    <row r="73" spans="3:10" x14ac:dyDescent="0.45">
      <c r="C73" s="9"/>
      <c r="D73" s="9"/>
      <c r="E73" s="9"/>
      <c r="G73" s="9"/>
      <c r="H73" s="2"/>
      <c r="I73" s="9"/>
      <c r="J73" s="2"/>
    </row>
    <row r="74" spans="3:10" x14ac:dyDescent="0.45">
      <c r="C74" s="9"/>
      <c r="D74" s="9"/>
      <c r="E74" s="9"/>
      <c r="G74" s="9"/>
      <c r="H74" s="2"/>
      <c r="I74" s="9"/>
      <c r="J74" s="2"/>
    </row>
    <row r="75" spans="3:10" x14ac:dyDescent="0.45">
      <c r="C75" s="9"/>
      <c r="D75" s="9"/>
      <c r="E75" s="9"/>
      <c r="G75" s="9"/>
      <c r="H75" s="2"/>
      <c r="I75" s="9"/>
      <c r="J75" s="2"/>
    </row>
    <row r="76" spans="3:10" x14ac:dyDescent="0.45">
      <c r="C76" s="9"/>
      <c r="D76" s="9"/>
      <c r="E76" s="9"/>
      <c r="G76" s="9"/>
      <c r="H76" s="2"/>
      <c r="I76" s="9"/>
      <c r="J76" s="2"/>
    </row>
    <row r="77" spans="3:10" x14ac:dyDescent="0.45">
      <c r="C77" s="9"/>
      <c r="D77" s="9"/>
      <c r="E77" s="9"/>
      <c r="G77" s="9"/>
      <c r="H77" s="2"/>
      <c r="I77" s="9"/>
      <c r="J77" s="2"/>
    </row>
    <row r="78" spans="3:10" x14ac:dyDescent="0.45">
      <c r="C78" s="9"/>
      <c r="D78" s="9"/>
      <c r="E78" s="9"/>
      <c r="G78" s="9"/>
      <c r="H78" s="2"/>
      <c r="I78" s="9"/>
      <c r="J78" s="2"/>
    </row>
    <row r="79" spans="3:10" x14ac:dyDescent="0.45">
      <c r="C79" s="9"/>
      <c r="D79" s="9"/>
      <c r="E79" s="9"/>
      <c r="G79" s="9"/>
      <c r="H79" s="2"/>
      <c r="I79" s="9"/>
      <c r="J79" s="2"/>
    </row>
    <row r="80" spans="3:10" x14ac:dyDescent="0.45">
      <c r="C80" s="9"/>
      <c r="D80" s="9"/>
      <c r="E80" s="9"/>
      <c r="G80" s="9"/>
      <c r="H80" s="2"/>
      <c r="I80" s="9"/>
      <c r="J80" s="2"/>
    </row>
    <row r="81" spans="3:10" x14ac:dyDescent="0.45">
      <c r="C81" s="9"/>
      <c r="D81" s="9"/>
      <c r="E81" s="9"/>
      <c r="G81" s="9"/>
      <c r="H81" s="2"/>
      <c r="I81" s="9"/>
      <c r="J81" s="2"/>
    </row>
    <row r="82" spans="3:10" x14ac:dyDescent="0.45">
      <c r="C82" s="9"/>
      <c r="D82" s="9"/>
      <c r="E82" s="9"/>
      <c r="G82" s="9"/>
      <c r="H82" s="2"/>
      <c r="I82" s="9"/>
      <c r="J82" s="2"/>
    </row>
    <row r="83" spans="3:10" x14ac:dyDescent="0.45">
      <c r="C83" s="9"/>
      <c r="D83" s="9"/>
      <c r="E83" s="9"/>
      <c r="G83" s="9"/>
      <c r="H83" s="2"/>
      <c r="I83" s="9"/>
      <c r="J83" s="2"/>
    </row>
    <row r="84" spans="3:10" x14ac:dyDescent="0.45">
      <c r="C84" s="9"/>
      <c r="D84" s="9"/>
      <c r="E84" s="9"/>
      <c r="G84" s="9"/>
      <c r="H84" s="2"/>
      <c r="I84" s="9"/>
      <c r="J84" s="2"/>
    </row>
    <row r="85" spans="3:10" x14ac:dyDescent="0.45">
      <c r="C85" s="9"/>
      <c r="D85" s="9"/>
      <c r="E85" s="9"/>
      <c r="G85" s="9"/>
      <c r="H85" s="2"/>
      <c r="I85" s="9"/>
      <c r="J85" s="2"/>
    </row>
    <row r="86" spans="3:10" x14ac:dyDescent="0.45">
      <c r="C86" s="9"/>
      <c r="D86" s="9"/>
      <c r="E86" s="9"/>
      <c r="G86" s="9"/>
      <c r="H86" s="2"/>
      <c r="I86" s="9"/>
      <c r="J86" s="2"/>
    </row>
    <row r="87" spans="3:10" x14ac:dyDescent="0.45">
      <c r="C87" s="9"/>
      <c r="D87" s="9"/>
      <c r="E87" s="9"/>
      <c r="G87" s="9"/>
      <c r="H87" s="2"/>
      <c r="I87" s="9"/>
      <c r="J87" s="2"/>
    </row>
    <row r="88" spans="3:10" x14ac:dyDescent="0.45">
      <c r="C88" s="9"/>
      <c r="D88" s="9"/>
      <c r="E88" s="9"/>
      <c r="G88" s="9"/>
      <c r="H88" s="2"/>
      <c r="I88" s="9"/>
      <c r="J88" s="2"/>
    </row>
    <row r="89" spans="3:10" x14ac:dyDescent="0.45">
      <c r="C89" s="9"/>
      <c r="D89" s="9"/>
      <c r="E89" s="9"/>
      <c r="G89" s="9"/>
      <c r="H89" s="2"/>
      <c r="I89" s="9"/>
      <c r="J89" s="2"/>
    </row>
    <row r="90" spans="3:10" x14ac:dyDescent="0.45">
      <c r="C90" s="9"/>
      <c r="D90" s="9"/>
      <c r="E90" s="9"/>
      <c r="G90" s="9"/>
      <c r="H90" s="2"/>
      <c r="I90" s="9"/>
      <c r="J90" s="2"/>
    </row>
    <row r="91" spans="3:10" x14ac:dyDescent="0.45">
      <c r="C91" s="9"/>
      <c r="D91" s="9"/>
      <c r="E91" s="9"/>
      <c r="G91" s="9"/>
      <c r="H91" s="2"/>
      <c r="I91" s="9"/>
      <c r="J91" s="2"/>
    </row>
    <row r="92" spans="3:10" x14ac:dyDescent="0.45">
      <c r="C92" s="9"/>
      <c r="D92" s="9"/>
      <c r="E92" s="9"/>
      <c r="G92" s="9"/>
      <c r="H92" s="2"/>
      <c r="I92" s="9"/>
      <c r="J92" s="2"/>
    </row>
    <row r="93" spans="3:10" x14ac:dyDescent="0.45">
      <c r="C93" s="9"/>
      <c r="D93" s="9"/>
      <c r="E93" s="9"/>
      <c r="G93" s="9"/>
      <c r="H93" s="2"/>
      <c r="I93" s="9"/>
      <c r="J93" s="2"/>
    </row>
    <row r="94" spans="3:10" x14ac:dyDescent="0.45">
      <c r="C94" s="9"/>
      <c r="D94" s="9"/>
      <c r="E94" s="9"/>
      <c r="G94" s="9"/>
      <c r="H94" s="2"/>
      <c r="I94" s="9"/>
      <c r="J94" s="2"/>
    </row>
    <row r="95" spans="3:10" x14ac:dyDescent="0.45">
      <c r="C95" s="9"/>
      <c r="D95" s="9"/>
      <c r="E95" s="9"/>
      <c r="G95" s="9"/>
      <c r="H95" s="2"/>
      <c r="I95" s="9"/>
      <c r="J95" s="2"/>
    </row>
    <row r="96" spans="3:10" x14ac:dyDescent="0.45">
      <c r="C96" s="9"/>
      <c r="D96" s="9"/>
      <c r="E96" s="9"/>
      <c r="G96" s="9"/>
      <c r="H96" s="2"/>
      <c r="I96" s="9"/>
      <c r="J96" s="2"/>
    </row>
    <row r="97" spans="3:10" x14ac:dyDescent="0.45">
      <c r="C97" s="9"/>
      <c r="D97" s="9"/>
      <c r="E97" s="9"/>
      <c r="G97" s="9"/>
      <c r="H97" s="2"/>
      <c r="I97" s="9"/>
      <c r="J97" s="2"/>
    </row>
    <row r="98" spans="3:10" x14ac:dyDescent="0.45">
      <c r="C98" s="9"/>
      <c r="D98" s="9"/>
      <c r="E98" s="9"/>
      <c r="G98" s="9"/>
      <c r="H98" s="2"/>
      <c r="I98" s="9"/>
      <c r="J98" s="2"/>
    </row>
    <row r="99" spans="3:10" x14ac:dyDescent="0.45">
      <c r="C99" s="9"/>
      <c r="D99" s="9"/>
      <c r="E99" s="9"/>
      <c r="G99" s="9"/>
      <c r="H99" s="2"/>
      <c r="I99" s="9"/>
      <c r="J99" s="2"/>
    </row>
    <row r="100" spans="3:10" x14ac:dyDescent="0.45">
      <c r="C100" s="9"/>
      <c r="D100" s="9"/>
      <c r="E100" s="9"/>
      <c r="G100" s="9"/>
      <c r="H100" s="2"/>
      <c r="I100" s="9"/>
      <c r="J100" s="2"/>
    </row>
    <row r="101" spans="3:10" x14ac:dyDescent="0.45">
      <c r="C101" s="9"/>
      <c r="D101" s="9"/>
      <c r="E101" s="9"/>
      <c r="G101" s="9"/>
      <c r="H101" s="2"/>
      <c r="I101" s="9"/>
      <c r="J101" s="2"/>
    </row>
    <row r="102" spans="3:10" x14ac:dyDescent="0.45">
      <c r="C102" s="9"/>
      <c r="D102" s="9"/>
      <c r="E102" s="9"/>
      <c r="G102" s="9"/>
      <c r="H102" s="2"/>
      <c r="I102" s="9"/>
      <c r="J102" s="2"/>
    </row>
    <row r="103" spans="3:10" x14ac:dyDescent="0.45">
      <c r="C103" s="9"/>
      <c r="D103" s="9"/>
      <c r="E103" s="9"/>
      <c r="G103" s="9"/>
      <c r="H103" s="2"/>
      <c r="I103" s="9"/>
      <c r="J103" s="2"/>
    </row>
    <row r="104" spans="3:10" x14ac:dyDescent="0.45">
      <c r="C104" s="9"/>
      <c r="D104" s="9"/>
      <c r="E104" s="9"/>
      <c r="G104" s="9"/>
      <c r="H104" s="2"/>
      <c r="I104" s="9"/>
      <c r="J104" s="2"/>
    </row>
    <row r="105" spans="3:10" x14ac:dyDescent="0.45">
      <c r="C105" s="9"/>
      <c r="D105" s="9"/>
      <c r="E105" s="9"/>
      <c r="G105" s="9"/>
      <c r="H105" s="2"/>
      <c r="I105" s="9"/>
      <c r="J105" s="2"/>
    </row>
    <row r="106" spans="3:10" x14ac:dyDescent="0.45">
      <c r="C106" s="9"/>
      <c r="D106" s="9"/>
      <c r="E106" s="9"/>
      <c r="G106" s="9"/>
      <c r="H106" s="2"/>
      <c r="I106" s="9"/>
      <c r="J106" s="2"/>
    </row>
    <row r="107" spans="3:10" x14ac:dyDescent="0.45">
      <c r="C107" s="9"/>
      <c r="D107" s="9"/>
      <c r="E107" s="9"/>
      <c r="G107" s="9"/>
      <c r="H107" s="2"/>
      <c r="I107" s="9"/>
      <c r="J107" s="2"/>
    </row>
    <row r="108" spans="3:10" x14ac:dyDescent="0.45">
      <c r="C108" s="9"/>
      <c r="D108" s="9"/>
      <c r="E108" s="9"/>
      <c r="G108" s="9"/>
      <c r="H108" s="2"/>
      <c r="I108" s="9"/>
      <c r="J108" s="2"/>
    </row>
    <row r="109" spans="3:10" x14ac:dyDescent="0.45">
      <c r="C109" s="9"/>
      <c r="D109" s="9"/>
      <c r="E109" s="9"/>
      <c r="G109" s="9"/>
      <c r="H109" s="2"/>
      <c r="I109" s="9"/>
      <c r="J109" s="2"/>
    </row>
    <row r="110" spans="3:10" x14ac:dyDescent="0.45">
      <c r="C110" s="9"/>
      <c r="D110" s="9"/>
      <c r="E110" s="9"/>
      <c r="G110" s="9"/>
      <c r="H110" s="2"/>
      <c r="I110" s="9"/>
      <c r="J110" s="2"/>
    </row>
    <row r="111" spans="3:10" x14ac:dyDescent="0.45">
      <c r="C111" s="9"/>
      <c r="D111" s="9"/>
      <c r="E111" s="9"/>
      <c r="G111" s="9"/>
      <c r="H111" s="2"/>
      <c r="I111" s="9"/>
      <c r="J111" s="2"/>
    </row>
    <row r="112" spans="3:10" x14ac:dyDescent="0.45">
      <c r="C112" s="9"/>
      <c r="D112" s="9"/>
      <c r="E112" s="9"/>
      <c r="G112" s="9"/>
      <c r="H112" s="2"/>
      <c r="I112" s="9"/>
      <c r="J112" s="2"/>
    </row>
    <row r="113" spans="3:10" x14ac:dyDescent="0.45">
      <c r="C113" s="9"/>
      <c r="D113" s="9"/>
      <c r="E113" s="9"/>
      <c r="G113" s="9"/>
      <c r="H113" s="2"/>
      <c r="I113" s="9"/>
      <c r="J113" s="2"/>
    </row>
    <row r="114" spans="3:10" x14ac:dyDescent="0.45">
      <c r="C114" s="9"/>
      <c r="D114" s="9"/>
      <c r="E114" s="9"/>
      <c r="G114" s="9"/>
      <c r="H114" s="2"/>
      <c r="I114" s="9"/>
      <c r="J114" s="2"/>
    </row>
    <row r="115" spans="3:10" x14ac:dyDescent="0.45">
      <c r="C115" s="9"/>
      <c r="D115" s="9"/>
      <c r="E115" s="9"/>
      <c r="G115" s="9"/>
      <c r="H115" s="2"/>
      <c r="I115" s="9"/>
      <c r="J115" s="2"/>
    </row>
    <row r="116" spans="3:10" x14ac:dyDescent="0.45">
      <c r="C116" s="9"/>
      <c r="D116" s="9"/>
      <c r="E116" s="9"/>
      <c r="G116" s="9"/>
      <c r="H116" s="2"/>
      <c r="I116" s="9"/>
      <c r="J116" s="2"/>
    </row>
    <row r="117" spans="3:10" x14ac:dyDescent="0.45">
      <c r="C117" s="9"/>
      <c r="D117" s="9"/>
      <c r="E117" s="9"/>
      <c r="G117" s="9"/>
      <c r="H117" s="2"/>
      <c r="I117" s="9"/>
      <c r="J117" s="2"/>
    </row>
    <row r="118" spans="3:10" x14ac:dyDescent="0.45">
      <c r="C118" s="9"/>
      <c r="D118" s="9"/>
      <c r="E118" s="9"/>
      <c r="G118" s="9"/>
      <c r="H118" s="2"/>
      <c r="I118" s="9"/>
      <c r="J118" s="2"/>
    </row>
    <row r="119" spans="3:10" x14ac:dyDescent="0.45">
      <c r="C119" s="9"/>
      <c r="D119" s="9"/>
      <c r="E119" s="9"/>
      <c r="G119" s="9"/>
      <c r="H119" s="2"/>
      <c r="I119" s="9"/>
      <c r="J119" s="2"/>
    </row>
    <row r="120" spans="3:10" x14ac:dyDescent="0.45">
      <c r="C120" s="9"/>
      <c r="D120" s="9"/>
      <c r="E120" s="9"/>
      <c r="G120" s="9"/>
      <c r="H120" s="2"/>
      <c r="I120" s="9"/>
      <c r="J120" s="2"/>
    </row>
    <row r="121" spans="3:10" x14ac:dyDescent="0.45">
      <c r="C121" s="9"/>
      <c r="D121" s="9"/>
      <c r="E121" s="9"/>
      <c r="G121" s="9"/>
      <c r="H121" s="2"/>
      <c r="I121" s="9"/>
      <c r="J121" s="2"/>
    </row>
    <row r="122" spans="3:10" x14ac:dyDescent="0.45">
      <c r="C122" s="9"/>
      <c r="D122" s="9"/>
      <c r="E122" s="9"/>
      <c r="G122" s="9"/>
      <c r="H122" s="2"/>
      <c r="I122" s="9"/>
      <c r="J122" s="2"/>
    </row>
    <row r="123" spans="3:10" x14ac:dyDescent="0.45">
      <c r="C123" s="9"/>
      <c r="D123" s="9"/>
      <c r="E123" s="9"/>
      <c r="G123" s="9"/>
      <c r="H123" s="2"/>
      <c r="I123" s="9"/>
      <c r="J123" s="2"/>
    </row>
    <row r="124" spans="3:10" x14ac:dyDescent="0.45">
      <c r="C124" s="9"/>
      <c r="D124" s="9"/>
      <c r="E124" s="9"/>
      <c r="G124" s="9"/>
      <c r="H124" s="2"/>
      <c r="I124" s="9"/>
      <c r="J124" s="2"/>
    </row>
    <row r="125" spans="3:10" x14ac:dyDescent="0.45">
      <c r="C125" s="9"/>
      <c r="D125" s="9"/>
      <c r="E125" s="9"/>
      <c r="G125" s="9"/>
      <c r="H125" s="2"/>
      <c r="I125" s="9"/>
      <c r="J125" s="2"/>
    </row>
    <row r="126" spans="3:10" x14ac:dyDescent="0.45">
      <c r="C126" s="9"/>
      <c r="D126" s="9"/>
      <c r="E126" s="9"/>
      <c r="G126" s="9"/>
      <c r="H126" s="2"/>
      <c r="I126" s="9"/>
      <c r="J126" s="2"/>
    </row>
    <row r="127" spans="3:10" x14ac:dyDescent="0.45">
      <c r="C127" s="9"/>
      <c r="D127" s="9"/>
      <c r="E127" s="9"/>
      <c r="G127" s="9"/>
      <c r="H127" s="2"/>
      <c r="I127" s="9"/>
      <c r="J127" s="2"/>
    </row>
    <row r="128" spans="3:10" x14ac:dyDescent="0.45">
      <c r="C128" s="9"/>
      <c r="D128" s="9"/>
      <c r="E128" s="9"/>
      <c r="G128" s="9"/>
      <c r="H128" s="2"/>
      <c r="I128" s="9"/>
      <c r="J128" s="2"/>
    </row>
    <row r="129" spans="3:10" x14ac:dyDescent="0.45">
      <c r="C129" s="9"/>
      <c r="D129" s="9"/>
      <c r="E129" s="9"/>
      <c r="G129" s="9"/>
      <c r="H129" s="2"/>
      <c r="I129" s="9"/>
      <c r="J129" s="2"/>
    </row>
    <row r="130" spans="3:10" x14ac:dyDescent="0.45">
      <c r="C130" s="9"/>
      <c r="D130" s="9"/>
      <c r="E130" s="9"/>
      <c r="G130" s="9"/>
      <c r="H130" s="2"/>
      <c r="I130" s="9"/>
      <c r="J130" s="2"/>
    </row>
    <row r="131" spans="3:10" x14ac:dyDescent="0.45">
      <c r="C131" s="9"/>
      <c r="D131" s="9"/>
      <c r="E131" s="9"/>
      <c r="G131" s="9"/>
      <c r="H131" s="2"/>
      <c r="I131" s="9"/>
      <c r="J131" s="2"/>
    </row>
  </sheetData>
  <mergeCells count="2">
    <mergeCell ref="C15:E15"/>
    <mergeCell ref="C20:E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78357-FEB1-4B6E-8930-AD854AA2B414}">
  <dimension ref="A1:K131"/>
  <sheetViews>
    <sheetView tabSelected="1" topLeftCell="A6" zoomScaleNormal="100" workbookViewId="0">
      <selection activeCell="G18" sqref="G18:H18"/>
    </sheetView>
  </sheetViews>
  <sheetFormatPr defaultColWidth="8.796875" defaultRowHeight="14.25" x14ac:dyDescent="0.45"/>
  <cols>
    <col min="1" max="1" width="5" customWidth="1"/>
    <col min="2" max="2" width="22.1328125" customWidth="1"/>
    <col min="3" max="12" width="11.796875" customWidth="1"/>
  </cols>
  <sheetData>
    <row r="1" spans="1:11" x14ac:dyDescent="0.45">
      <c r="A1" s="4" t="s">
        <v>20</v>
      </c>
    </row>
    <row r="2" spans="1:11" ht="14.65" thickBot="1" x14ac:dyDescent="0.5"/>
    <row r="3" spans="1:11" ht="28.5" x14ac:dyDescent="0.45">
      <c r="B3" s="5" t="s">
        <v>16</v>
      </c>
      <c r="C3" s="22" t="s">
        <v>0</v>
      </c>
      <c r="D3" s="22" t="s">
        <v>1</v>
      </c>
      <c r="E3" s="23" t="s">
        <v>2</v>
      </c>
    </row>
    <row r="4" spans="1:11" x14ac:dyDescent="0.45">
      <c r="B4" s="6" t="s">
        <v>7</v>
      </c>
      <c r="C4" s="27">
        <v>0.06</v>
      </c>
      <c r="D4" s="28">
        <v>6.5000000000000002E-2</v>
      </c>
      <c r="E4" s="29">
        <v>0.08</v>
      </c>
    </row>
    <row r="5" spans="1:11" ht="14.65" thickBot="1" x14ac:dyDescent="0.5">
      <c r="B5" s="12" t="s">
        <v>8</v>
      </c>
      <c r="C5" s="30">
        <v>0.15</v>
      </c>
      <c r="D5" s="31">
        <v>0.16500000000000001</v>
      </c>
      <c r="E5" s="32">
        <v>0.21</v>
      </c>
    </row>
    <row r="6" spans="1:11" ht="14.65" thickBot="1" x14ac:dyDescent="0.5">
      <c r="C6" s="1"/>
      <c r="D6" s="1"/>
      <c r="E6" s="1"/>
    </row>
    <row r="7" spans="1:11" ht="28.5" x14ac:dyDescent="0.45">
      <c r="B7" s="13" t="s">
        <v>3</v>
      </c>
      <c r="C7" s="22" t="s">
        <v>0</v>
      </c>
      <c r="D7" s="22" t="s">
        <v>1</v>
      </c>
      <c r="E7" s="23" t="s">
        <v>2</v>
      </c>
      <c r="H7" s="10"/>
    </row>
    <row r="8" spans="1:11" x14ac:dyDescent="0.45">
      <c r="B8" s="14" t="s">
        <v>0</v>
      </c>
      <c r="C8" s="33">
        <v>2.2499999999999999E-2</v>
      </c>
      <c r="D8" s="34">
        <v>1.8562499999999999E-2</v>
      </c>
      <c r="E8" s="35">
        <v>2.3624999999999997E-2</v>
      </c>
      <c r="I8" s="2"/>
      <c r="J8" s="2"/>
      <c r="K8" s="2"/>
    </row>
    <row r="9" spans="1:11" x14ac:dyDescent="0.45">
      <c r="B9" s="14" t="s">
        <v>1</v>
      </c>
      <c r="C9" s="36">
        <v>1.8562499999999999E-2</v>
      </c>
      <c r="D9" s="37">
        <v>2.7225000000000003E-2</v>
      </c>
      <c r="E9" s="38">
        <v>2.59875E-2</v>
      </c>
      <c r="I9" s="2"/>
      <c r="J9" s="2"/>
      <c r="K9" s="2"/>
    </row>
    <row r="10" spans="1:11" ht="14.65" thickBot="1" x14ac:dyDescent="0.5">
      <c r="B10" s="15" t="s">
        <v>2</v>
      </c>
      <c r="C10" s="39">
        <v>2.3624999999999997E-2</v>
      </c>
      <c r="D10" s="40">
        <v>2.59875E-2</v>
      </c>
      <c r="E10" s="41">
        <v>4.4099999999999993E-2</v>
      </c>
      <c r="I10" s="2"/>
      <c r="J10" s="2"/>
      <c r="K10" s="2"/>
    </row>
    <row r="12" spans="1:11" x14ac:dyDescent="0.45">
      <c r="B12" t="s">
        <v>5</v>
      </c>
      <c r="C12" s="54">
        <f>0.0012*4</f>
        <v>4.7999999999999996E-3</v>
      </c>
      <c r="J12" s="2"/>
    </row>
    <row r="13" spans="1:11" x14ac:dyDescent="0.45">
      <c r="B13" s="53" t="s">
        <v>25</v>
      </c>
      <c r="C13" s="54">
        <f>C4-$C$12</f>
        <v>5.5199999999999999E-2</v>
      </c>
      <c r="D13" s="54">
        <f t="shared" ref="D13:E13" si="0">D4-$C$12</f>
        <v>6.0200000000000004E-2</v>
      </c>
      <c r="E13" s="54">
        <f t="shared" si="0"/>
        <v>7.5200000000000003E-2</v>
      </c>
      <c r="J13" s="2"/>
    </row>
    <row r="14" spans="1:11" x14ac:dyDescent="0.45">
      <c r="C14" s="8"/>
      <c r="J14" s="2"/>
    </row>
    <row r="15" spans="1:11" ht="14.55" customHeight="1" x14ac:dyDescent="0.45">
      <c r="C15" s="49" t="s">
        <v>22</v>
      </c>
      <c r="D15" s="49"/>
      <c r="E15" s="49"/>
      <c r="J15" s="2"/>
    </row>
    <row r="16" spans="1:11" ht="28.5" x14ac:dyDescent="0.45">
      <c r="B16" s="4"/>
      <c r="C16" s="25" t="s">
        <v>0</v>
      </c>
      <c r="D16" s="25" t="s">
        <v>1</v>
      </c>
      <c r="E16" s="25" t="s">
        <v>2</v>
      </c>
      <c r="F16" s="25" t="s">
        <v>11</v>
      </c>
      <c r="G16" s="25" t="s">
        <v>9</v>
      </c>
      <c r="H16" s="25" t="s">
        <v>6</v>
      </c>
      <c r="I16" s="48" t="s">
        <v>21</v>
      </c>
    </row>
    <row r="17" spans="2:11" x14ac:dyDescent="0.45">
      <c r="B17" t="s">
        <v>23</v>
      </c>
      <c r="C17" s="11">
        <f t="array" ref="C17:E17">TRANSPOSE(MMULT(MINVERSE(C8:E10), TRANSPOSE(C13:E13)))</f>
        <v>1.08578354978355</v>
      </c>
      <c r="D17" s="11">
        <v>0.91067558703922247</v>
      </c>
      <c r="E17" s="11">
        <v>0.58689754689754636</v>
      </c>
      <c r="F17" s="9">
        <f>SUM(C17:E17)</f>
        <v>2.5833566837203188</v>
      </c>
      <c r="G17" s="9"/>
      <c r="H17" s="9"/>
      <c r="I17" s="2"/>
    </row>
    <row r="18" spans="2:11" x14ac:dyDescent="0.45">
      <c r="B18" t="s">
        <v>24</v>
      </c>
      <c r="C18" s="11">
        <f>C17/$F$17</f>
        <v>0.42029951056541748</v>
      </c>
      <c r="D18" s="11">
        <f t="shared" ref="D18:E18" si="1">D17/$F$17</f>
        <v>0.35251639573353422</v>
      </c>
      <c r="E18" s="11">
        <f t="shared" si="1"/>
        <v>0.22718409370104833</v>
      </c>
      <c r="F18" s="9">
        <f>SUM(C18:E18)</f>
        <v>1</v>
      </c>
      <c r="G18" s="9" cm="1">
        <f t="array" ref="G18">MMULT(C18:E18,TRANSPOSE($C$4:$E$4))</f>
        <v>6.6306263852688646E-2</v>
      </c>
      <c r="H18" s="9" cm="1">
        <f t="array" ref="H18">SQRT(MMULT(C18:E18,MMULT($C$8:$E$10,TRANSPOSE(C18:E18))))</f>
        <v>0.1543005545256747</v>
      </c>
      <c r="I18" s="2">
        <f>(G18-C12)/H18</f>
        <v>0.39861336883565357</v>
      </c>
      <c r="J18" s="2"/>
    </row>
    <row r="19" spans="2:11" x14ac:dyDescent="0.45">
      <c r="C19" s="8"/>
      <c r="J19" s="2"/>
    </row>
    <row r="20" spans="2:11" ht="29" customHeight="1" x14ac:dyDescent="0.45">
      <c r="C20" s="49" t="s">
        <v>4</v>
      </c>
      <c r="D20" s="49"/>
      <c r="E20" s="49"/>
      <c r="J20" s="2"/>
    </row>
    <row r="21" spans="2:11" ht="28.9" thickBot="1" x14ac:dyDescent="0.5">
      <c r="B21" s="4" t="s">
        <v>10</v>
      </c>
      <c r="C21" s="24" t="s">
        <v>0</v>
      </c>
      <c r="D21" s="24" t="s">
        <v>1</v>
      </c>
      <c r="E21" s="24" t="s">
        <v>2</v>
      </c>
      <c r="F21" s="24" t="s">
        <v>11</v>
      </c>
      <c r="G21" s="46" t="s">
        <v>9</v>
      </c>
      <c r="H21" s="46" t="s">
        <v>6</v>
      </c>
      <c r="I21" s="21"/>
      <c r="J21" s="21"/>
      <c r="K21" s="21"/>
    </row>
    <row r="22" spans="2:11" x14ac:dyDescent="0.45">
      <c r="B22" s="43">
        <v>0.04</v>
      </c>
      <c r="C22" s="16">
        <v>1.6002637950748135</v>
      </c>
      <c r="D22" s="16">
        <v>0.53298160655047899</v>
      </c>
      <c r="E22" s="16">
        <v>-1.1332454016252924</v>
      </c>
      <c r="F22" s="16">
        <f>SUM(C22:E22)</f>
        <v>1.0000000000000002</v>
      </c>
      <c r="G22" s="9" cm="1">
        <f t="array" ref="G22">MMULT(C22:E22,TRANSPOSE($C$4:$E$4))</f>
        <v>4.0000000000246533E-2</v>
      </c>
      <c r="H22" s="9" cm="1">
        <f t="array" ref="H22">SQRT(MMULT(C22:E22,MMULT($C$8:$E$10,TRANSPOSE(C22:E22))))</f>
        <v>0.1912380680730402</v>
      </c>
    </row>
    <row r="23" spans="2:11" x14ac:dyDescent="0.45">
      <c r="B23" s="44">
        <v>0.05</v>
      </c>
      <c r="C23" s="9">
        <v>1.1517150260908089</v>
      </c>
      <c r="D23" s="9">
        <v>0.46437998353034776</v>
      </c>
      <c r="E23" s="9">
        <v>-0.61609500962115649</v>
      </c>
      <c r="F23" s="9">
        <f t="shared" ref="F23:F26" si="2">SUM(C23:E23)</f>
        <v>1</v>
      </c>
      <c r="G23" s="9" cm="1">
        <f t="array" ref="G23">MMULT(C23:E23,TRANSPOSE($C$4:$E$4))</f>
        <v>4.9999999725228617E-2</v>
      </c>
      <c r="H23" s="9" cm="1">
        <f t="array" ref="H23">SQRT(MMULT(C23:E23,MMULT($C$8:$E$10,TRANSPOSE(C23:E23))))</f>
        <v>0.1546409372626861</v>
      </c>
    </row>
    <row r="24" spans="2:11" x14ac:dyDescent="0.45">
      <c r="B24" s="44">
        <v>0.06</v>
      </c>
      <c r="C24" s="11">
        <v>0.70316619583171769</v>
      </c>
      <c r="D24" s="11">
        <v>0.39577833383406508</v>
      </c>
      <c r="E24" s="11">
        <v>-9.8944538869047222E-2</v>
      </c>
      <c r="F24" s="9">
        <f t="shared" si="2"/>
        <v>0.99999999079673552</v>
      </c>
      <c r="G24" s="9" cm="1">
        <f t="array" ref="G24">MMULT(C24:E24,TRANSPOSE($C$4:$E$4))</f>
        <v>6.0000000339593518E-2</v>
      </c>
      <c r="H24" s="9" cm="1">
        <f t="array" ref="H24">SQRT(MMULT(C24:E24,MMULT($C$8:$E$10,TRANSPOSE(C24:E24))))</f>
        <v>0.14432709307305036</v>
      </c>
    </row>
    <row r="25" spans="2:11" x14ac:dyDescent="0.45">
      <c r="B25" s="44">
        <v>7.0000000000000007E-2</v>
      </c>
      <c r="C25" s="11">
        <v>0.25461712220640237</v>
      </c>
      <c r="D25" s="11">
        <v>0.32717693430631439</v>
      </c>
      <c r="E25" s="11">
        <v>0.41820594265376526</v>
      </c>
      <c r="F25" s="9">
        <f t="shared" si="2"/>
        <v>0.99999999916648208</v>
      </c>
      <c r="G25" s="9" cm="1">
        <f t="array" ref="G25">MMULT(C25:E25,TRANSPOSE($C$4:$E$4))</f>
        <v>7.0000003474595798E-2</v>
      </c>
      <c r="H25" s="9" cm="1">
        <f t="array" ref="H25">SQRT(MMULT(C25:E25,MMULT($C$8:$E$10,TRANSPOSE(C25:E25))))</f>
        <v>0.16529208969377709</v>
      </c>
    </row>
    <row r="26" spans="2:11" ht="14.65" thickBot="1" x14ac:dyDescent="0.5">
      <c r="B26" s="45">
        <v>0.08</v>
      </c>
      <c r="C26" s="47">
        <v>-0.19393142539494257</v>
      </c>
      <c r="D26" s="47">
        <v>0.25857526376446238</v>
      </c>
      <c r="E26" s="47">
        <v>0.93535616862816451</v>
      </c>
      <c r="F26" s="17">
        <f t="shared" si="2"/>
        <v>1.0000000069976842</v>
      </c>
      <c r="G26" s="17" cm="1">
        <f t="array" ref="G26">MMULT(C26:E26,TRANSPOSE($C$4:$E$4))</f>
        <v>8.0000000111246666E-2</v>
      </c>
      <c r="H26" s="17" cm="1">
        <f t="array" ref="H26">SQRT(MMULT(C26:E26,MMULT($C$8:$E$10,TRANSPOSE(C26:E26))))</f>
        <v>0.20829618763345809</v>
      </c>
    </row>
    <row r="27" spans="2:11" x14ac:dyDescent="0.45">
      <c r="C27" s="9"/>
      <c r="D27" s="9"/>
      <c r="E27" s="9"/>
      <c r="G27" s="9"/>
      <c r="H27" s="2"/>
      <c r="I27" s="9"/>
      <c r="J27" s="2"/>
    </row>
    <row r="28" spans="2:11" x14ac:dyDescent="0.45">
      <c r="C28" s="9"/>
      <c r="D28" s="9"/>
      <c r="E28" s="9"/>
      <c r="G28" s="9"/>
      <c r="H28" s="2"/>
      <c r="I28" s="9"/>
      <c r="J28" s="2"/>
    </row>
    <row r="29" spans="2:11" x14ac:dyDescent="0.45">
      <c r="C29" s="9"/>
      <c r="D29" s="9"/>
      <c r="E29" s="9"/>
      <c r="G29" s="9"/>
      <c r="H29" s="2"/>
      <c r="I29" s="9"/>
      <c r="J29" s="2"/>
    </row>
    <row r="30" spans="2:11" x14ac:dyDescent="0.45">
      <c r="C30" s="9"/>
      <c r="D30" s="9"/>
      <c r="E30" s="9"/>
      <c r="G30" s="9"/>
      <c r="H30" s="2"/>
      <c r="I30" s="9"/>
      <c r="J30" s="2"/>
    </row>
    <row r="31" spans="2:11" x14ac:dyDescent="0.45">
      <c r="C31" s="9"/>
      <c r="D31" s="9"/>
      <c r="E31" s="9"/>
      <c r="G31" s="9"/>
      <c r="H31" s="2"/>
      <c r="I31" s="9"/>
      <c r="J31" s="2"/>
    </row>
    <row r="32" spans="2:11" x14ac:dyDescent="0.45">
      <c r="C32" s="9"/>
      <c r="D32" s="9"/>
      <c r="E32" s="9"/>
      <c r="G32" s="9"/>
      <c r="H32" s="2"/>
      <c r="I32" s="9"/>
      <c r="J32" s="2"/>
    </row>
    <row r="33" spans="3:10" x14ac:dyDescent="0.45">
      <c r="C33" s="9"/>
      <c r="D33" s="9"/>
      <c r="E33" s="9"/>
      <c r="G33" s="9"/>
      <c r="H33" s="2"/>
      <c r="I33" s="9"/>
      <c r="J33" s="2"/>
    </row>
    <row r="34" spans="3:10" x14ac:dyDescent="0.45">
      <c r="C34" s="9"/>
      <c r="D34" s="9"/>
      <c r="E34" s="9"/>
      <c r="G34" s="9"/>
      <c r="H34" s="2"/>
      <c r="I34" s="9"/>
      <c r="J34" s="2"/>
    </row>
    <row r="35" spans="3:10" x14ac:dyDescent="0.45">
      <c r="C35" s="9"/>
      <c r="D35" s="9"/>
      <c r="E35" s="9"/>
      <c r="G35" s="9"/>
      <c r="H35" s="2"/>
      <c r="I35" s="9"/>
      <c r="J35" s="2"/>
    </row>
    <row r="36" spans="3:10" x14ac:dyDescent="0.45">
      <c r="C36" s="9"/>
      <c r="D36" s="9"/>
      <c r="E36" s="9"/>
      <c r="G36" s="9"/>
      <c r="H36" s="2"/>
      <c r="I36" s="9"/>
      <c r="J36" s="2"/>
    </row>
    <row r="37" spans="3:10" x14ac:dyDescent="0.45">
      <c r="C37" s="9"/>
      <c r="D37" s="9"/>
      <c r="E37" s="9"/>
      <c r="G37" s="9"/>
      <c r="H37" s="2"/>
      <c r="I37" s="9"/>
      <c r="J37" s="2"/>
    </row>
    <row r="38" spans="3:10" x14ac:dyDescent="0.45">
      <c r="C38" s="9"/>
      <c r="D38" s="9"/>
      <c r="E38" s="9"/>
      <c r="G38" s="9"/>
      <c r="H38" s="2"/>
      <c r="I38" s="9"/>
      <c r="J38" s="2"/>
    </row>
    <row r="39" spans="3:10" x14ac:dyDescent="0.45">
      <c r="C39" s="9"/>
      <c r="D39" s="9"/>
      <c r="E39" s="9"/>
      <c r="G39" s="9"/>
      <c r="H39" s="2"/>
      <c r="I39" s="9"/>
      <c r="J39" s="2"/>
    </row>
    <row r="40" spans="3:10" x14ac:dyDescent="0.45">
      <c r="C40" s="9"/>
      <c r="D40" s="9"/>
      <c r="E40" s="9"/>
      <c r="G40" s="9"/>
      <c r="H40" s="2"/>
      <c r="I40" s="9"/>
      <c r="J40" s="2"/>
    </row>
    <row r="41" spans="3:10" x14ac:dyDescent="0.45">
      <c r="C41" s="9"/>
      <c r="D41" s="9"/>
      <c r="E41" s="9"/>
      <c r="G41" s="9"/>
      <c r="H41" s="2"/>
      <c r="I41" s="9"/>
      <c r="J41" s="2"/>
    </row>
    <row r="42" spans="3:10" x14ac:dyDescent="0.45">
      <c r="C42" s="9"/>
      <c r="D42" s="9"/>
      <c r="E42" s="9"/>
      <c r="G42" s="9"/>
      <c r="H42" s="2"/>
      <c r="I42" s="9"/>
      <c r="J42" s="2"/>
    </row>
    <row r="43" spans="3:10" x14ac:dyDescent="0.45">
      <c r="C43" s="9"/>
      <c r="D43" s="9"/>
      <c r="E43" s="9"/>
      <c r="G43" s="9"/>
      <c r="H43" s="2"/>
      <c r="I43" s="9"/>
      <c r="J43" s="2"/>
    </row>
    <row r="44" spans="3:10" x14ac:dyDescent="0.45">
      <c r="C44" s="9"/>
      <c r="D44" s="9"/>
      <c r="E44" s="9"/>
      <c r="G44" s="9"/>
      <c r="H44" s="2"/>
      <c r="I44" s="9"/>
      <c r="J44" s="2"/>
    </row>
    <row r="45" spans="3:10" x14ac:dyDescent="0.45">
      <c r="C45" s="9"/>
      <c r="D45" s="9"/>
      <c r="E45" s="9"/>
      <c r="G45" s="9"/>
      <c r="H45" s="2"/>
      <c r="I45" s="9"/>
      <c r="J45" s="2"/>
    </row>
    <row r="46" spans="3:10" x14ac:dyDescent="0.45">
      <c r="C46" s="9"/>
      <c r="D46" s="9"/>
      <c r="E46" s="9"/>
      <c r="G46" s="9"/>
      <c r="H46" s="2"/>
      <c r="I46" s="9"/>
      <c r="J46" s="2"/>
    </row>
    <row r="47" spans="3:10" x14ac:dyDescent="0.45">
      <c r="C47" s="9"/>
      <c r="D47" s="9"/>
      <c r="E47" s="9"/>
      <c r="G47" s="9"/>
      <c r="H47" s="2"/>
      <c r="I47" s="9"/>
      <c r="J47" s="2"/>
    </row>
    <row r="48" spans="3:10" x14ac:dyDescent="0.45">
      <c r="C48" s="9"/>
      <c r="D48" s="9"/>
      <c r="E48" s="9"/>
      <c r="G48" s="9"/>
      <c r="H48" s="2"/>
      <c r="I48" s="9"/>
      <c r="J48" s="2"/>
    </row>
    <row r="49" spans="3:10" x14ac:dyDescent="0.45">
      <c r="C49" s="9"/>
      <c r="D49" s="9"/>
      <c r="E49" s="9"/>
      <c r="G49" s="9"/>
      <c r="H49" s="2"/>
      <c r="I49" s="9"/>
      <c r="J49" s="2"/>
    </row>
    <row r="50" spans="3:10" x14ac:dyDescent="0.45">
      <c r="C50" s="9"/>
      <c r="D50" s="9"/>
      <c r="E50" s="9"/>
      <c r="G50" s="9"/>
      <c r="H50" s="2"/>
      <c r="I50" s="9"/>
      <c r="J50" s="2"/>
    </row>
    <row r="51" spans="3:10" x14ac:dyDescent="0.45">
      <c r="C51" s="9"/>
      <c r="D51" s="9"/>
      <c r="E51" s="9"/>
      <c r="G51" s="9"/>
      <c r="H51" s="2"/>
      <c r="I51" s="9"/>
      <c r="J51" s="2"/>
    </row>
    <row r="52" spans="3:10" x14ac:dyDescent="0.45">
      <c r="C52" s="9"/>
      <c r="D52" s="9"/>
      <c r="E52" s="9"/>
      <c r="G52" s="9"/>
      <c r="H52" s="2"/>
      <c r="I52" s="9"/>
      <c r="J52" s="2"/>
    </row>
    <row r="53" spans="3:10" x14ac:dyDescent="0.45">
      <c r="C53" s="9"/>
      <c r="D53" s="9"/>
      <c r="E53" s="9"/>
      <c r="G53" s="9"/>
      <c r="H53" s="2"/>
      <c r="I53" s="9"/>
      <c r="J53" s="2"/>
    </row>
    <row r="54" spans="3:10" x14ac:dyDescent="0.45">
      <c r="C54" s="9"/>
      <c r="D54" s="9"/>
      <c r="E54" s="9"/>
      <c r="G54" s="9"/>
      <c r="H54" s="2"/>
      <c r="I54" s="9"/>
      <c r="J54" s="2"/>
    </row>
    <row r="55" spans="3:10" x14ac:dyDescent="0.45">
      <c r="C55" s="9"/>
      <c r="D55" s="9"/>
      <c r="E55" s="9"/>
      <c r="G55" s="9"/>
      <c r="H55" s="2"/>
      <c r="I55" s="9"/>
      <c r="J55" s="2"/>
    </row>
    <row r="56" spans="3:10" x14ac:dyDescent="0.45">
      <c r="C56" s="9"/>
      <c r="D56" s="9"/>
      <c r="E56" s="9"/>
      <c r="G56" s="9"/>
      <c r="H56" s="2"/>
      <c r="I56" s="9"/>
      <c r="J56" s="2"/>
    </row>
    <row r="57" spans="3:10" x14ac:dyDescent="0.45">
      <c r="C57" s="9"/>
      <c r="D57" s="9"/>
      <c r="E57" s="9"/>
      <c r="G57" s="9"/>
      <c r="H57" s="2"/>
      <c r="I57" s="9"/>
      <c r="J57" s="2"/>
    </row>
    <row r="58" spans="3:10" x14ac:dyDescent="0.45">
      <c r="C58" s="9"/>
      <c r="D58" s="9"/>
      <c r="E58" s="9"/>
      <c r="G58" s="9"/>
      <c r="H58" s="2"/>
      <c r="I58" s="9"/>
      <c r="J58" s="2"/>
    </row>
    <row r="59" spans="3:10" x14ac:dyDescent="0.45">
      <c r="C59" s="9"/>
      <c r="D59" s="9"/>
      <c r="E59" s="9"/>
      <c r="G59" s="9"/>
      <c r="H59" s="2"/>
      <c r="I59" s="9"/>
      <c r="J59" s="2"/>
    </row>
    <row r="60" spans="3:10" x14ac:dyDescent="0.45">
      <c r="C60" s="9"/>
      <c r="D60" s="9"/>
      <c r="E60" s="9"/>
      <c r="G60" s="9"/>
      <c r="H60" s="2"/>
      <c r="I60" s="9"/>
      <c r="J60" s="2"/>
    </row>
    <row r="61" spans="3:10" x14ac:dyDescent="0.45">
      <c r="C61" s="9"/>
      <c r="D61" s="9"/>
      <c r="E61" s="9"/>
      <c r="G61" s="9"/>
      <c r="H61" s="2"/>
      <c r="I61" s="9"/>
      <c r="J61" s="2"/>
    </row>
    <row r="62" spans="3:10" x14ac:dyDescent="0.45">
      <c r="C62" s="9"/>
      <c r="D62" s="9"/>
      <c r="E62" s="9"/>
      <c r="G62" s="9"/>
      <c r="H62" s="2"/>
      <c r="I62" s="9"/>
      <c r="J62" s="2"/>
    </row>
    <row r="63" spans="3:10" x14ac:dyDescent="0.45">
      <c r="C63" s="9"/>
      <c r="D63" s="9"/>
      <c r="E63" s="9"/>
      <c r="G63" s="9"/>
      <c r="H63" s="2"/>
      <c r="I63" s="9"/>
      <c r="J63" s="2"/>
    </row>
    <row r="64" spans="3:10" x14ac:dyDescent="0.45">
      <c r="C64" s="9"/>
      <c r="D64" s="9"/>
      <c r="E64" s="9"/>
      <c r="G64" s="9"/>
      <c r="H64" s="2"/>
      <c r="I64" s="9"/>
      <c r="J64" s="2"/>
    </row>
    <row r="65" spans="3:10" x14ac:dyDescent="0.45">
      <c r="C65" s="9"/>
      <c r="D65" s="9"/>
      <c r="E65" s="9"/>
      <c r="G65" s="9"/>
      <c r="H65" s="2"/>
      <c r="I65" s="9"/>
      <c r="J65" s="2"/>
    </row>
    <row r="66" spans="3:10" x14ac:dyDescent="0.45">
      <c r="C66" s="9"/>
      <c r="D66" s="9"/>
      <c r="E66" s="9"/>
      <c r="G66" s="9"/>
      <c r="H66" s="2"/>
      <c r="I66" s="9"/>
      <c r="J66" s="2"/>
    </row>
    <row r="67" spans="3:10" x14ac:dyDescent="0.45">
      <c r="C67" s="9"/>
      <c r="D67" s="9"/>
      <c r="E67" s="9"/>
      <c r="G67" s="9"/>
      <c r="H67" s="2"/>
      <c r="I67" s="9"/>
      <c r="J67" s="2"/>
    </row>
    <row r="68" spans="3:10" x14ac:dyDescent="0.45">
      <c r="C68" s="9"/>
      <c r="D68" s="9"/>
      <c r="E68" s="9"/>
      <c r="G68" s="9"/>
      <c r="H68" s="2"/>
      <c r="I68" s="9"/>
      <c r="J68" s="2"/>
    </row>
    <row r="69" spans="3:10" x14ac:dyDescent="0.45">
      <c r="C69" s="9"/>
      <c r="D69" s="9"/>
      <c r="E69" s="9"/>
      <c r="G69" s="9"/>
      <c r="H69" s="2"/>
      <c r="I69" s="9"/>
      <c r="J69" s="2"/>
    </row>
    <row r="70" spans="3:10" x14ac:dyDescent="0.45">
      <c r="C70" s="9"/>
      <c r="D70" s="9"/>
      <c r="E70" s="9"/>
      <c r="G70" s="9"/>
      <c r="H70" s="2"/>
      <c r="I70" s="9"/>
      <c r="J70" s="2"/>
    </row>
    <row r="71" spans="3:10" x14ac:dyDescent="0.45">
      <c r="C71" s="9"/>
      <c r="D71" s="9"/>
      <c r="E71" s="9"/>
      <c r="G71" s="9"/>
      <c r="H71" s="2"/>
      <c r="I71" s="9"/>
      <c r="J71" s="2"/>
    </row>
    <row r="72" spans="3:10" x14ac:dyDescent="0.45">
      <c r="C72" s="9"/>
      <c r="D72" s="9"/>
      <c r="E72" s="9"/>
      <c r="G72" s="9"/>
      <c r="H72" s="2"/>
      <c r="I72" s="9"/>
      <c r="J72" s="2"/>
    </row>
    <row r="73" spans="3:10" x14ac:dyDescent="0.45">
      <c r="C73" s="9"/>
      <c r="D73" s="9"/>
      <c r="E73" s="9"/>
      <c r="G73" s="9"/>
      <c r="H73" s="2"/>
      <c r="I73" s="9"/>
      <c r="J73" s="2"/>
    </row>
    <row r="74" spans="3:10" x14ac:dyDescent="0.45">
      <c r="C74" s="9"/>
      <c r="D74" s="9"/>
      <c r="E74" s="9"/>
      <c r="G74" s="9"/>
      <c r="H74" s="2"/>
      <c r="I74" s="9"/>
      <c r="J74" s="2"/>
    </row>
    <row r="75" spans="3:10" x14ac:dyDescent="0.45">
      <c r="C75" s="9"/>
      <c r="D75" s="9"/>
      <c r="E75" s="9"/>
      <c r="G75" s="9"/>
      <c r="H75" s="2"/>
      <c r="I75" s="9"/>
      <c r="J75" s="2"/>
    </row>
    <row r="76" spans="3:10" x14ac:dyDescent="0.45">
      <c r="C76" s="9"/>
      <c r="D76" s="9"/>
      <c r="E76" s="9"/>
      <c r="G76" s="9"/>
      <c r="H76" s="2"/>
      <c r="I76" s="9"/>
      <c r="J76" s="2"/>
    </row>
    <row r="77" spans="3:10" x14ac:dyDescent="0.45">
      <c r="C77" s="9"/>
      <c r="D77" s="9"/>
      <c r="E77" s="9"/>
      <c r="G77" s="9"/>
      <c r="H77" s="2"/>
      <c r="I77" s="9"/>
      <c r="J77" s="2"/>
    </row>
    <row r="78" spans="3:10" x14ac:dyDescent="0.45">
      <c r="C78" s="9"/>
      <c r="D78" s="9"/>
      <c r="E78" s="9"/>
      <c r="G78" s="9"/>
      <c r="H78" s="2"/>
      <c r="I78" s="9"/>
      <c r="J78" s="2"/>
    </row>
    <row r="79" spans="3:10" x14ac:dyDescent="0.45">
      <c r="C79" s="9"/>
      <c r="D79" s="9"/>
      <c r="E79" s="9"/>
      <c r="G79" s="9"/>
      <c r="H79" s="2"/>
      <c r="I79" s="9"/>
      <c r="J79" s="2"/>
    </row>
    <row r="80" spans="3:10" x14ac:dyDescent="0.45">
      <c r="C80" s="9"/>
      <c r="D80" s="9"/>
      <c r="E80" s="9"/>
      <c r="G80" s="9"/>
      <c r="H80" s="2"/>
      <c r="I80" s="9"/>
      <c r="J80" s="2"/>
    </row>
    <row r="81" spans="3:10" x14ac:dyDescent="0.45">
      <c r="C81" s="9"/>
      <c r="D81" s="9"/>
      <c r="E81" s="9"/>
      <c r="G81" s="9"/>
      <c r="H81" s="2"/>
      <c r="I81" s="9"/>
      <c r="J81" s="2"/>
    </row>
    <row r="82" spans="3:10" x14ac:dyDescent="0.45">
      <c r="C82" s="9"/>
      <c r="D82" s="9"/>
      <c r="E82" s="9"/>
      <c r="G82" s="9"/>
      <c r="H82" s="2"/>
      <c r="I82" s="9"/>
      <c r="J82" s="2"/>
    </row>
    <row r="83" spans="3:10" x14ac:dyDescent="0.45">
      <c r="C83" s="9"/>
      <c r="D83" s="9"/>
      <c r="E83" s="9"/>
      <c r="G83" s="9"/>
      <c r="H83" s="2"/>
      <c r="I83" s="9"/>
      <c r="J83" s="2"/>
    </row>
    <row r="84" spans="3:10" x14ac:dyDescent="0.45">
      <c r="C84" s="9"/>
      <c r="D84" s="9"/>
      <c r="E84" s="9"/>
      <c r="G84" s="9"/>
      <c r="H84" s="2"/>
      <c r="I84" s="9"/>
      <c r="J84" s="2"/>
    </row>
    <row r="85" spans="3:10" x14ac:dyDescent="0.45">
      <c r="C85" s="9"/>
      <c r="D85" s="9"/>
      <c r="E85" s="9"/>
      <c r="G85" s="9"/>
      <c r="H85" s="2"/>
      <c r="I85" s="9"/>
      <c r="J85" s="2"/>
    </row>
    <row r="86" spans="3:10" x14ac:dyDescent="0.45">
      <c r="C86" s="9"/>
      <c r="D86" s="9"/>
      <c r="E86" s="9"/>
      <c r="G86" s="9"/>
      <c r="H86" s="2"/>
      <c r="I86" s="9"/>
      <c r="J86" s="2"/>
    </row>
    <row r="87" spans="3:10" x14ac:dyDescent="0.45">
      <c r="C87" s="9"/>
      <c r="D87" s="9"/>
      <c r="E87" s="9"/>
      <c r="G87" s="9"/>
      <c r="H87" s="2"/>
      <c r="I87" s="9"/>
      <c r="J87" s="2"/>
    </row>
    <row r="88" spans="3:10" x14ac:dyDescent="0.45">
      <c r="C88" s="9"/>
      <c r="D88" s="9"/>
      <c r="E88" s="9"/>
      <c r="G88" s="9"/>
      <c r="H88" s="2"/>
      <c r="I88" s="9"/>
      <c r="J88" s="2"/>
    </row>
    <row r="89" spans="3:10" x14ac:dyDescent="0.45">
      <c r="C89" s="9"/>
      <c r="D89" s="9"/>
      <c r="E89" s="9"/>
      <c r="G89" s="9"/>
      <c r="H89" s="2"/>
      <c r="I89" s="9"/>
      <c r="J89" s="2"/>
    </row>
    <row r="90" spans="3:10" x14ac:dyDescent="0.45">
      <c r="C90" s="9"/>
      <c r="D90" s="9"/>
      <c r="E90" s="9"/>
      <c r="G90" s="9"/>
      <c r="H90" s="2"/>
      <c r="I90" s="9"/>
      <c r="J90" s="2"/>
    </row>
    <row r="91" spans="3:10" x14ac:dyDescent="0.45">
      <c r="C91" s="9"/>
      <c r="D91" s="9"/>
      <c r="E91" s="9"/>
      <c r="G91" s="9"/>
      <c r="H91" s="2"/>
      <c r="I91" s="9"/>
      <c r="J91" s="2"/>
    </row>
    <row r="92" spans="3:10" x14ac:dyDescent="0.45">
      <c r="C92" s="9"/>
      <c r="D92" s="9"/>
      <c r="E92" s="9"/>
      <c r="G92" s="9"/>
      <c r="H92" s="2"/>
      <c r="I92" s="9"/>
      <c r="J92" s="2"/>
    </row>
    <row r="93" spans="3:10" x14ac:dyDescent="0.45">
      <c r="C93" s="9"/>
      <c r="D93" s="9"/>
      <c r="E93" s="9"/>
      <c r="G93" s="9"/>
      <c r="H93" s="2"/>
      <c r="I93" s="9"/>
      <c r="J93" s="2"/>
    </row>
    <row r="94" spans="3:10" x14ac:dyDescent="0.45">
      <c r="C94" s="9"/>
      <c r="D94" s="9"/>
      <c r="E94" s="9"/>
      <c r="G94" s="9"/>
      <c r="H94" s="2"/>
      <c r="I94" s="9"/>
      <c r="J94" s="2"/>
    </row>
    <row r="95" spans="3:10" x14ac:dyDescent="0.45">
      <c r="C95" s="9"/>
      <c r="D95" s="9"/>
      <c r="E95" s="9"/>
      <c r="G95" s="9"/>
      <c r="H95" s="2"/>
      <c r="I95" s="9"/>
      <c r="J95" s="2"/>
    </row>
    <row r="96" spans="3:10" x14ac:dyDescent="0.45">
      <c r="C96" s="9"/>
      <c r="D96" s="9"/>
      <c r="E96" s="9"/>
      <c r="G96" s="9"/>
      <c r="H96" s="2"/>
      <c r="I96" s="9"/>
      <c r="J96" s="2"/>
    </row>
    <row r="97" spans="3:10" x14ac:dyDescent="0.45">
      <c r="C97" s="9"/>
      <c r="D97" s="9"/>
      <c r="E97" s="9"/>
      <c r="G97" s="9"/>
      <c r="H97" s="2"/>
      <c r="I97" s="9"/>
      <c r="J97" s="2"/>
    </row>
    <row r="98" spans="3:10" x14ac:dyDescent="0.45">
      <c r="C98" s="9"/>
      <c r="D98" s="9"/>
      <c r="E98" s="9"/>
      <c r="G98" s="9"/>
      <c r="H98" s="2"/>
      <c r="I98" s="9"/>
      <c r="J98" s="2"/>
    </row>
    <row r="99" spans="3:10" x14ac:dyDescent="0.45">
      <c r="C99" s="9"/>
      <c r="D99" s="9"/>
      <c r="E99" s="9"/>
      <c r="G99" s="9"/>
      <c r="H99" s="2"/>
      <c r="I99" s="9"/>
      <c r="J99" s="2"/>
    </row>
    <row r="100" spans="3:10" x14ac:dyDescent="0.45">
      <c r="C100" s="9"/>
      <c r="D100" s="9"/>
      <c r="E100" s="9"/>
      <c r="G100" s="9"/>
      <c r="H100" s="2"/>
      <c r="I100" s="9"/>
      <c r="J100" s="2"/>
    </row>
    <row r="101" spans="3:10" x14ac:dyDescent="0.45">
      <c r="C101" s="9"/>
      <c r="D101" s="9"/>
      <c r="E101" s="9"/>
      <c r="G101" s="9"/>
      <c r="H101" s="2"/>
      <c r="I101" s="9"/>
      <c r="J101" s="2"/>
    </row>
    <row r="102" spans="3:10" x14ac:dyDescent="0.45">
      <c r="C102" s="9"/>
      <c r="D102" s="9"/>
      <c r="E102" s="9"/>
      <c r="G102" s="9"/>
      <c r="H102" s="2"/>
      <c r="I102" s="9"/>
      <c r="J102" s="2"/>
    </row>
    <row r="103" spans="3:10" x14ac:dyDescent="0.45">
      <c r="C103" s="9"/>
      <c r="D103" s="9"/>
      <c r="E103" s="9"/>
      <c r="G103" s="9"/>
      <c r="H103" s="2"/>
      <c r="I103" s="9"/>
      <c r="J103" s="2"/>
    </row>
    <row r="104" spans="3:10" x14ac:dyDescent="0.45">
      <c r="C104" s="9"/>
      <c r="D104" s="9"/>
      <c r="E104" s="9"/>
      <c r="G104" s="9"/>
      <c r="H104" s="2"/>
      <c r="I104" s="9"/>
      <c r="J104" s="2"/>
    </row>
    <row r="105" spans="3:10" x14ac:dyDescent="0.45">
      <c r="C105" s="9"/>
      <c r="D105" s="9"/>
      <c r="E105" s="9"/>
      <c r="G105" s="9"/>
      <c r="H105" s="2"/>
      <c r="I105" s="9"/>
      <c r="J105" s="2"/>
    </row>
    <row r="106" spans="3:10" x14ac:dyDescent="0.45">
      <c r="C106" s="9"/>
      <c r="D106" s="9"/>
      <c r="E106" s="9"/>
      <c r="G106" s="9"/>
      <c r="H106" s="2"/>
      <c r="I106" s="9"/>
      <c r="J106" s="2"/>
    </row>
    <row r="107" spans="3:10" x14ac:dyDescent="0.45">
      <c r="C107" s="9"/>
      <c r="D107" s="9"/>
      <c r="E107" s="9"/>
      <c r="G107" s="9"/>
      <c r="H107" s="2"/>
      <c r="I107" s="9"/>
      <c r="J107" s="2"/>
    </row>
    <row r="108" spans="3:10" x14ac:dyDescent="0.45">
      <c r="C108" s="9"/>
      <c r="D108" s="9"/>
      <c r="E108" s="9"/>
      <c r="G108" s="9"/>
      <c r="H108" s="2"/>
      <c r="I108" s="9"/>
      <c r="J108" s="2"/>
    </row>
    <row r="109" spans="3:10" x14ac:dyDescent="0.45">
      <c r="C109" s="9"/>
      <c r="D109" s="9"/>
      <c r="E109" s="9"/>
      <c r="G109" s="9"/>
      <c r="H109" s="2"/>
      <c r="I109" s="9"/>
      <c r="J109" s="2"/>
    </row>
    <row r="110" spans="3:10" x14ac:dyDescent="0.45">
      <c r="C110" s="9"/>
      <c r="D110" s="9"/>
      <c r="E110" s="9"/>
      <c r="G110" s="9"/>
      <c r="H110" s="2"/>
      <c r="I110" s="9"/>
      <c r="J110" s="2"/>
    </row>
    <row r="111" spans="3:10" x14ac:dyDescent="0.45">
      <c r="C111" s="9"/>
      <c r="D111" s="9"/>
      <c r="E111" s="9"/>
      <c r="G111" s="9"/>
      <c r="H111" s="2"/>
      <c r="I111" s="9"/>
      <c r="J111" s="2"/>
    </row>
    <row r="112" spans="3:10" x14ac:dyDescent="0.45">
      <c r="C112" s="9"/>
      <c r="D112" s="9"/>
      <c r="E112" s="9"/>
      <c r="G112" s="9"/>
      <c r="H112" s="2"/>
      <c r="I112" s="9"/>
      <c r="J112" s="2"/>
    </row>
    <row r="113" spans="3:10" x14ac:dyDescent="0.45">
      <c r="C113" s="9"/>
      <c r="D113" s="9"/>
      <c r="E113" s="9"/>
      <c r="G113" s="9"/>
      <c r="H113" s="2"/>
      <c r="I113" s="9"/>
      <c r="J113" s="2"/>
    </row>
    <row r="114" spans="3:10" x14ac:dyDescent="0.45">
      <c r="C114" s="9"/>
      <c r="D114" s="9"/>
      <c r="E114" s="9"/>
      <c r="G114" s="9"/>
      <c r="H114" s="2"/>
      <c r="I114" s="9"/>
      <c r="J114" s="2"/>
    </row>
    <row r="115" spans="3:10" x14ac:dyDescent="0.45">
      <c r="C115" s="9"/>
      <c r="D115" s="9"/>
      <c r="E115" s="9"/>
      <c r="G115" s="9"/>
      <c r="H115" s="2"/>
      <c r="I115" s="9"/>
      <c r="J115" s="2"/>
    </row>
    <row r="116" spans="3:10" x14ac:dyDescent="0.45">
      <c r="C116" s="9"/>
      <c r="D116" s="9"/>
      <c r="E116" s="9"/>
      <c r="G116" s="9"/>
      <c r="H116" s="2"/>
      <c r="I116" s="9"/>
      <c r="J116" s="2"/>
    </row>
    <row r="117" spans="3:10" x14ac:dyDescent="0.45">
      <c r="C117" s="9"/>
      <c r="D117" s="9"/>
      <c r="E117" s="9"/>
      <c r="G117" s="9"/>
      <c r="H117" s="2"/>
      <c r="I117" s="9"/>
      <c r="J117" s="2"/>
    </row>
    <row r="118" spans="3:10" x14ac:dyDescent="0.45">
      <c r="C118" s="9"/>
      <c r="D118" s="9"/>
      <c r="E118" s="9"/>
      <c r="G118" s="9"/>
      <c r="H118" s="2"/>
      <c r="I118" s="9"/>
      <c r="J118" s="2"/>
    </row>
    <row r="119" spans="3:10" x14ac:dyDescent="0.45">
      <c r="C119" s="9"/>
      <c r="D119" s="9"/>
      <c r="E119" s="9"/>
      <c r="G119" s="9"/>
      <c r="H119" s="2"/>
      <c r="I119" s="9"/>
      <c r="J119" s="2"/>
    </row>
    <row r="120" spans="3:10" x14ac:dyDescent="0.45">
      <c r="C120" s="9"/>
      <c r="D120" s="9"/>
      <c r="E120" s="9"/>
      <c r="G120" s="9"/>
      <c r="H120" s="2"/>
      <c r="I120" s="9"/>
      <c r="J120" s="2"/>
    </row>
    <row r="121" spans="3:10" x14ac:dyDescent="0.45">
      <c r="C121" s="9"/>
      <c r="D121" s="9"/>
      <c r="E121" s="9"/>
      <c r="G121" s="9"/>
      <c r="H121" s="2"/>
      <c r="I121" s="9"/>
      <c r="J121" s="2"/>
    </row>
    <row r="122" spans="3:10" x14ac:dyDescent="0.45">
      <c r="C122" s="9"/>
      <c r="D122" s="9"/>
      <c r="E122" s="9"/>
      <c r="G122" s="9"/>
      <c r="H122" s="2"/>
      <c r="I122" s="9"/>
      <c r="J122" s="2"/>
    </row>
    <row r="123" spans="3:10" x14ac:dyDescent="0.45">
      <c r="C123" s="9"/>
      <c r="D123" s="9"/>
      <c r="E123" s="9"/>
      <c r="G123" s="9"/>
      <c r="H123" s="2"/>
      <c r="I123" s="9"/>
      <c r="J123" s="2"/>
    </row>
    <row r="124" spans="3:10" x14ac:dyDescent="0.45">
      <c r="C124" s="9"/>
      <c r="D124" s="9"/>
      <c r="E124" s="9"/>
      <c r="G124" s="9"/>
      <c r="H124" s="2"/>
      <c r="I124" s="9"/>
      <c r="J124" s="2"/>
    </row>
    <row r="125" spans="3:10" x14ac:dyDescent="0.45">
      <c r="C125" s="9"/>
      <c r="D125" s="9"/>
      <c r="E125" s="9"/>
      <c r="G125" s="9"/>
      <c r="H125" s="2"/>
      <c r="I125" s="9"/>
      <c r="J125" s="2"/>
    </row>
    <row r="126" spans="3:10" x14ac:dyDescent="0.45">
      <c r="C126" s="9"/>
      <c r="D126" s="9"/>
      <c r="E126" s="9"/>
      <c r="G126" s="9"/>
      <c r="H126" s="2"/>
      <c r="I126" s="9"/>
      <c r="J126" s="2"/>
    </row>
    <row r="127" spans="3:10" x14ac:dyDescent="0.45">
      <c r="C127" s="9"/>
      <c r="D127" s="9"/>
      <c r="E127" s="9"/>
      <c r="G127" s="9"/>
      <c r="H127" s="2"/>
      <c r="I127" s="9"/>
      <c r="J127" s="2"/>
    </row>
    <row r="128" spans="3:10" x14ac:dyDescent="0.45">
      <c r="C128" s="9"/>
      <c r="D128" s="9"/>
      <c r="E128" s="9"/>
      <c r="G128" s="9"/>
      <c r="H128" s="2"/>
      <c r="I128" s="9"/>
      <c r="J128" s="2"/>
    </row>
    <row r="129" spans="3:10" x14ac:dyDescent="0.45">
      <c r="C129" s="9"/>
      <c r="D129" s="9"/>
      <c r="E129" s="9"/>
      <c r="G129" s="9"/>
      <c r="H129" s="2"/>
      <c r="I129" s="9"/>
      <c r="J129" s="2"/>
    </row>
    <row r="130" spans="3:10" x14ac:dyDescent="0.45">
      <c r="C130" s="9"/>
      <c r="D130" s="9"/>
      <c r="E130" s="9"/>
      <c r="G130" s="9"/>
      <c r="H130" s="2"/>
      <c r="I130" s="9"/>
      <c r="J130" s="2"/>
    </row>
    <row r="131" spans="3:10" x14ac:dyDescent="0.45">
      <c r="C131" s="9"/>
      <c r="D131" s="9"/>
      <c r="E131" s="9"/>
      <c r="G131" s="9"/>
      <c r="H131" s="2"/>
      <c r="I131" s="9"/>
      <c r="J131" s="2"/>
    </row>
  </sheetData>
  <mergeCells count="2">
    <mergeCell ref="C15:E15"/>
    <mergeCell ref="C20:E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"/>
  <sheetViews>
    <sheetView workbookViewId="0"/>
  </sheetViews>
  <sheetFormatPr defaultColWidth="8.796875" defaultRowHeight="14.25" x14ac:dyDescent="0.45"/>
  <cols>
    <col min="2" max="2" width="14.796875" customWidth="1"/>
    <col min="4" max="5" width="13.33203125" customWidth="1"/>
  </cols>
  <sheetData>
    <row r="1" spans="1:5" x14ac:dyDescent="0.45">
      <c r="A1" s="4" t="s">
        <v>15</v>
      </c>
    </row>
    <row r="2" spans="1:5" x14ac:dyDescent="0.45">
      <c r="A2" s="3" t="s">
        <v>17</v>
      </c>
    </row>
    <row r="3" spans="1:5" ht="28.5" x14ac:dyDescent="0.45">
      <c r="D3" s="18" t="s">
        <v>19</v>
      </c>
      <c r="E3" s="20" t="s">
        <v>12</v>
      </c>
    </row>
    <row r="4" spans="1:5" x14ac:dyDescent="0.45">
      <c r="B4" t="s">
        <v>18</v>
      </c>
      <c r="D4" s="19">
        <v>25.445346000000001</v>
      </c>
      <c r="E4" s="7">
        <f>D4/$D$7</f>
        <v>0.57860577119858103</v>
      </c>
    </row>
    <row r="5" spans="1:5" x14ac:dyDescent="0.45">
      <c r="B5" t="s">
        <v>13</v>
      </c>
      <c r="C5" s="19"/>
      <c r="D5" s="19">
        <v>13.319654000000002</v>
      </c>
      <c r="E5" s="7">
        <f>D5/$D$7</f>
        <v>0.30287773154148762</v>
      </c>
    </row>
    <row r="6" spans="1:5" x14ac:dyDescent="0.45">
      <c r="B6" t="s">
        <v>14</v>
      </c>
      <c r="D6" s="20">
        <v>5.2119999999999997</v>
      </c>
      <c r="E6" s="26">
        <f>D6/$D$7</f>
        <v>0.11851649725993131</v>
      </c>
    </row>
    <row r="7" spans="1:5" x14ac:dyDescent="0.45">
      <c r="D7" s="19">
        <f>SUM(D4:D6)</f>
        <v>43.977000000000004</v>
      </c>
      <c r="E7" s="7">
        <f>SUM(E4:E6)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Applied</vt:lpstr>
      <vt:lpstr>Equations</vt:lpstr>
      <vt:lpstr>5.5.2 MCSI MktCaps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Kerry Back</cp:lastModifiedBy>
  <dcterms:created xsi:type="dcterms:W3CDTF">2020-04-28T21:55:33Z</dcterms:created>
  <dcterms:modified xsi:type="dcterms:W3CDTF">2025-03-11T05:24:22Z</dcterms:modified>
</cp:coreProperties>
</file>